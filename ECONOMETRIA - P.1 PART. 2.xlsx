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gioam\OneDrive\Documentos\DOCS FACU\ECONOMETRIA\"/>
    </mc:Choice>
  </mc:AlternateContent>
  <workbookProtection workbookAlgorithmName="SHA-512" workbookHashValue="1NY+bZJig0wyh9za8q2A7cBTy8n0F1wRdbv2NQcitIeXYlT42GmX54hGsfuj4I05MSUFI7IPMxpzGvfdv+074w==" workbookSaltValue="rmwKAYxq/iGwxc/wMqv6Lg==" workbookSpinCount="100000" lockStructure="1"/>
  <bookViews>
    <workbookView minimized="1" xWindow="0" yWindow="0" windowWidth="10215" windowHeight="7680" tabRatio="400" firstSheet="3" activeTab="3"/>
  </bookViews>
  <sheets>
    <sheet name="Database Geral" sheetId="1" state="hidden" r:id="rId1"/>
    <sheet name="Cruzamento" sheetId="3" state="hidden" r:id="rId2"/>
    <sheet name="Base de Dados P1" sheetId="2" r:id="rId3"/>
    <sheet name="Folha de Respostas" sheetId="5" r:id="rId4"/>
  </sheets>
  <definedNames>
    <definedName name="_xlnm._FilterDatabase" localSheetId="1" hidden="1">Cruzamento!$A$1:$C$31</definedName>
    <definedName name="_xlnm._FilterDatabase" localSheetId="0" hidden="1">'Database Geral'!$A$1:$G$65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0" i="5" l="1"/>
  <c r="P26" i="5"/>
  <c r="M21" i="5" a="1"/>
  <c r="M21" i="5" s="1"/>
  <c r="J107" i="5" l="1" a="1"/>
  <c r="J107" i="5" s="1"/>
  <c r="U100" i="5" a="1"/>
  <c r="U100" i="5" s="1"/>
  <c r="O100" i="5" a="1"/>
  <c r="O100" i="5" s="1"/>
  <c r="I100" i="5" a="1"/>
  <c r="I100" i="5" s="1"/>
  <c r="G3" i="5"/>
  <c r="N75" i="5"/>
  <c r="O75" i="5" s="1"/>
  <c r="M78" i="5"/>
  <c r="Q75" i="5" s="1"/>
  <c r="J110" i="5" l="1"/>
  <c r="J109" i="5"/>
  <c r="J111" i="5"/>
  <c r="J108" i="5"/>
  <c r="U104" i="5"/>
  <c r="U103" i="5"/>
  <c r="U102" i="5"/>
  <c r="U101" i="5"/>
  <c r="P101" i="5"/>
  <c r="R104" i="5"/>
  <c r="O103" i="5"/>
  <c r="Q101" i="5"/>
  <c r="Q104" i="5"/>
  <c r="S102" i="5"/>
  <c r="P104" i="5"/>
  <c r="R102" i="5"/>
  <c r="O101" i="5"/>
  <c r="O104" i="5"/>
  <c r="Q102" i="5"/>
  <c r="S100" i="5"/>
  <c r="S103" i="5"/>
  <c r="P102" i="5"/>
  <c r="R100" i="5"/>
  <c r="R103" i="5"/>
  <c r="O102" i="5"/>
  <c r="Q100" i="5"/>
  <c r="Q103" i="5"/>
  <c r="S101" i="5"/>
  <c r="P100" i="5"/>
  <c r="S104" i="5"/>
  <c r="P103" i="5"/>
  <c r="R101" i="5"/>
  <c r="L104" i="5"/>
  <c r="L102" i="5"/>
  <c r="K100" i="5"/>
  <c r="K101" i="5"/>
  <c r="K102" i="5"/>
  <c r="I103" i="5"/>
  <c r="K104" i="5"/>
  <c r="M102" i="5"/>
  <c r="J101" i="5"/>
  <c r="J104" i="5"/>
  <c r="I101" i="5"/>
  <c r="I104" i="5"/>
  <c r="M100" i="5"/>
  <c r="M103" i="5"/>
  <c r="J102" i="5"/>
  <c r="L100" i="5"/>
  <c r="L103" i="5"/>
  <c r="I102" i="5"/>
  <c r="K103" i="5"/>
  <c r="M101" i="5"/>
  <c r="J100" i="5"/>
  <c r="M104" i="5"/>
  <c r="J103" i="5"/>
  <c r="L101" i="5"/>
  <c r="M79" i="5"/>
  <c r="J4" i="5" l="1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3" i="5"/>
  <c r="J1" i="5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S21" i="2"/>
  <c r="F2" i="2" l="1"/>
  <c r="F66" i="2" s="1"/>
  <c r="F66" i="5" s="1"/>
  <c r="G66" i="5" s="1"/>
  <c r="E2" i="2"/>
  <c r="E66" i="2" s="1"/>
  <c r="E66" i="5" s="1"/>
  <c r="D2" i="2"/>
  <c r="D66" i="2" s="1"/>
  <c r="D66" i="5" s="1"/>
  <c r="C2" i="2"/>
  <c r="C3" i="2" s="1"/>
  <c r="B3" i="5" s="1"/>
  <c r="F2" i="5" l="1"/>
  <c r="B2" i="5"/>
  <c r="D2" i="5"/>
  <c r="E2" i="5"/>
  <c r="C4" i="2"/>
  <c r="B4" i="5" s="1"/>
  <c r="C5" i="2"/>
  <c r="B5" i="5" s="1"/>
  <c r="C6" i="2"/>
  <c r="B6" i="5" s="1"/>
  <c r="C7" i="2"/>
  <c r="B7" i="5" s="1"/>
  <c r="C8" i="2"/>
  <c r="B8" i="5" s="1"/>
  <c r="C9" i="2"/>
  <c r="B9" i="5" s="1"/>
  <c r="C10" i="2"/>
  <c r="B10" i="5" s="1"/>
  <c r="C11" i="2"/>
  <c r="B11" i="5" s="1"/>
  <c r="C12" i="2"/>
  <c r="B12" i="5" s="1"/>
  <c r="C13" i="2"/>
  <c r="B13" i="5" s="1"/>
  <c r="C14" i="2"/>
  <c r="B14" i="5" s="1"/>
  <c r="C15" i="2"/>
  <c r="B15" i="5" s="1"/>
  <c r="C16" i="2"/>
  <c r="B16" i="5" s="1"/>
  <c r="C17" i="2"/>
  <c r="B17" i="5" s="1"/>
  <c r="C18" i="2"/>
  <c r="B18" i="5" s="1"/>
  <c r="C19" i="2"/>
  <c r="B19" i="5" s="1"/>
  <c r="C20" i="2"/>
  <c r="B20" i="5" s="1"/>
  <c r="C21" i="2"/>
  <c r="B21" i="5" s="1"/>
  <c r="C22" i="2"/>
  <c r="B22" i="5" s="1"/>
  <c r="C23" i="2"/>
  <c r="B23" i="5" s="1"/>
  <c r="C24" i="2"/>
  <c r="B24" i="5" s="1"/>
  <c r="C25" i="2"/>
  <c r="B25" i="5" s="1"/>
  <c r="C26" i="2"/>
  <c r="B26" i="5" s="1"/>
  <c r="C27" i="2"/>
  <c r="B27" i="5" s="1"/>
  <c r="C28" i="2"/>
  <c r="B28" i="5" s="1"/>
  <c r="C29" i="2"/>
  <c r="B29" i="5" s="1"/>
  <c r="C30" i="2"/>
  <c r="B30" i="5" s="1"/>
  <c r="C31" i="2"/>
  <c r="B31" i="5" s="1"/>
  <c r="C32" i="2"/>
  <c r="B32" i="5" s="1"/>
  <c r="C33" i="2"/>
  <c r="B33" i="5" s="1"/>
  <c r="C34" i="2"/>
  <c r="B34" i="5" s="1"/>
  <c r="C35" i="2"/>
  <c r="B35" i="5" s="1"/>
  <c r="C36" i="2"/>
  <c r="B36" i="5" s="1"/>
  <c r="C37" i="2"/>
  <c r="B37" i="5" s="1"/>
  <c r="C38" i="2"/>
  <c r="B38" i="5" s="1"/>
  <c r="C39" i="2"/>
  <c r="B39" i="5" s="1"/>
  <c r="C40" i="2"/>
  <c r="B40" i="5" s="1"/>
  <c r="C41" i="2"/>
  <c r="B41" i="5" s="1"/>
  <c r="C42" i="2"/>
  <c r="B42" i="5" s="1"/>
  <c r="C43" i="2"/>
  <c r="B43" i="5" s="1"/>
  <c r="C44" i="2"/>
  <c r="B44" i="5" s="1"/>
  <c r="C45" i="2"/>
  <c r="B45" i="5" s="1"/>
  <c r="C46" i="2"/>
  <c r="B46" i="5" s="1"/>
  <c r="C47" i="2"/>
  <c r="B47" i="5" s="1"/>
  <c r="C48" i="2"/>
  <c r="B48" i="5" s="1"/>
  <c r="C49" i="2"/>
  <c r="B49" i="5" s="1"/>
  <c r="C50" i="2"/>
  <c r="B50" i="5" s="1"/>
  <c r="C51" i="2"/>
  <c r="B51" i="5" s="1"/>
  <c r="C52" i="2"/>
  <c r="B52" i="5" s="1"/>
  <c r="C53" i="2"/>
  <c r="B53" i="5" s="1"/>
  <c r="C54" i="2"/>
  <c r="B54" i="5" s="1"/>
  <c r="C55" i="2"/>
  <c r="B55" i="5" s="1"/>
  <c r="C56" i="2"/>
  <c r="B56" i="5" s="1"/>
  <c r="C57" i="2"/>
  <c r="B57" i="5" s="1"/>
  <c r="C58" i="2"/>
  <c r="B58" i="5" s="1"/>
  <c r="C59" i="2"/>
  <c r="B59" i="5" s="1"/>
  <c r="C60" i="2"/>
  <c r="B60" i="5" s="1"/>
  <c r="C61" i="2"/>
  <c r="B61" i="5" s="1"/>
  <c r="C62" i="2"/>
  <c r="B62" i="5" s="1"/>
  <c r="C63" i="2"/>
  <c r="B63" i="5" s="1"/>
  <c r="C64" i="2"/>
  <c r="B64" i="5" s="1"/>
  <c r="C65" i="2"/>
  <c r="B65" i="5" s="1"/>
  <c r="C66" i="2"/>
  <c r="B66" i="5" s="1"/>
  <c r="D3" i="2"/>
  <c r="D3" i="5" s="1"/>
  <c r="D4" i="2"/>
  <c r="D4" i="5" s="1"/>
  <c r="D5" i="2"/>
  <c r="D5" i="5" s="1"/>
  <c r="D6" i="2"/>
  <c r="D6" i="5" s="1"/>
  <c r="D7" i="2"/>
  <c r="D7" i="5" s="1"/>
  <c r="D8" i="2"/>
  <c r="D8" i="5" s="1"/>
  <c r="D9" i="2"/>
  <c r="D9" i="5" s="1"/>
  <c r="D10" i="2"/>
  <c r="D10" i="5" s="1"/>
  <c r="D11" i="2"/>
  <c r="D11" i="5" s="1"/>
  <c r="D12" i="2"/>
  <c r="D12" i="5" s="1"/>
  <c r="D13" i="2"/>
  <c r="D13" i="5" s="1"/>
  <c r="D14" i="2"/>
  <c r="D14" i="5" s="1"/>
  <c r="D15" i="2"/>
  <c r="D15" i="5" s="1"/>
  <c r="D16" i="2"/>
  <c r="D16" i="5" s="1"/>
  <c r="D17" i="2"/>
  <c r="D17" i="5" s="1"/>
  <c r="D18" i="2"/>
  <c r="D18" i="5" s="1"/>
  <c r="D19" i="2"/>
  <c r="D19" i="5" s="1"/>
  <c r="D20" i="2"/>
  <c r="D20" i="5" s="1"/>
  <c r="D21" i="2"/>
  <c r="D21" i="5" s="1"/>
  <c r="D22" i="2"/>
  <c r="D22" i="5" s="1"/>
  <c r="D23" i="2"/>
  <c r="D23" i="5" s="1"/>
  <c r="D24" i="2"/>
  <c r="D24" i="5" s="1"/>
  <c r="D25" i="2"/>
  <c r="D25" i="5" s="1"/>
  <c r="D26" i="2"/>
  <c r="D26" i="5" s="1"/>
  <c r="D27" i="2"/>
  <c r="D27" i="5" s="1"/>
  <c r="D28" i="2"/>
  <c r="D28" i="5" s="1"/>
  <c r="D29" i="2"/>
  <c r="D29" i="5" s="1"/>
  <c r="D30" i="2"/>
  <c r="D30" i="5" s="1"/>
  <c r="D31" i="2"/>
  <c r="D31" i="5" s="1"/>
  <c r="D32" i="2"/>
  <c r="D32" i="5" s="1"/>
  <c r="D33" i="2"/>
  <c r="D33" i="5" s="1"/>
  <c r="D34" i="2"/>
  <c r="D34" i="5" s="1"/>
  <c r="D35" i="2"/>
  <c r="D35" i="5" s="1"/>
  <c r="D36" i="2"/>
  <c r="D36" i="5" s="1"/>
  <c r="D37" i="2"/>
  <c r="D37" i="5" s="1"/>
  <c r="D38" i="2"/>
  <c r="D38" i="5" s="1"/>
  <c r="D39" i="2"/>
  <c r="D39" i="5" s="1"/>
  <c r="D40" i="2"/>
  <c r="D40" i="5" s="1"/>
  <c r="D41" i="2"/>
  <c r="D41" i="5" s="1"/>
  <c r="D42" i="2"/>
  <c r="D42" i="5" s="1"/>
  <c r="D43" i="2"/>
  <c r="D43" i="5" s="1"/>
  <c r="D44" i="2"/>
  <c r="D44" i="5" s="1"/>
  <c r="D45" i="2"/>
  <c r="D45" i="5" s="1"/>
  <c r="D46" i="2"/>
  <c r="D46" i="5" s="1"/>
  <c r="D47" i="2"/>
  <c r="D47" i="5" s="1"/>
  <c r="D48" i="2"/>
  <c r="D48" i="5" s="1"/>
  <c r="D49" i="2"/>
  <c r="D49" i="5" s="1"/>
  <c r="D50" i="2"/>
  <c r="D50" i="5" s="1"/>
  <c r="D51" i="2"/>
  <c r="D51" i="5" s="1"/>
  <c r="D52" i="2"/>
  <c r="D52" i="5" s="1"/>
  <c r="D53" i="2"/>
  <c r="D53" i="5" s="1"/>
  <c r="D54" i="2"/>
  <c r="D54" i="5" s="1"/>
  <c r="D55" i="2"/>
  <c r="D55" i="5" s="1"/>
  <c r="D56" i="2"/>
  <c r="D56" i="5" s="1"/>
  <c r="D57" i="2"/>
  <c r="D57" i="5" s="1"/>
  <c r="D58" i="2"/>
  <c r="D58" i="5" s="1"/>
  <c r="D59" i="2"/>
  <c r="D59" i="5" s="1"/>
  <c r="D60" i="2"/>
  <c r="D60" i="5" s="1"/>
  <c r="D61" i="2"/>
  <c r="D61" i="5" s="1"/>
  <c r="D62" i="2"/>
  <c r="D62" i="5" s="1"/>
  <c r="D63" i="2"/>
  <c r="D63" i="5" s="1"/>
  <c r="D64" i="2"/>
  <c r="D64" i="5" s="1"/>
  <c r="D65" i="2"/>
  <c r="D65" i="5" s="1"/>
  <c r="E3" i="2"/>
  <c r="E3" i="5" s="1"/>
  <c r="E4" i="2"/>
  <c r="E4" i="5" s="1"/>
  <c r="E5" i="2"/>
  <c r="E5" i="5" s="1"/>
  <c r="E6" i="2"/>
  <c r="E6" i="5" s="1"/>
  <c r="E7" i="2"/>
  <c r="E7" i="5" s="1"/>
  <c r="E8" i="2"/>
  <c r="E8" i="5" s="1"/>
  <c r="E9" i="2"/>
  <c r="E9" i="5" s="1"/>
  <c r="E10" i="2"/>
  <c r="E10" i="5" s="1"/>
  <c r="E11" i="2"/>
  <c r="E11" i="5" s="1"/>
  <c r="E12" i="2"/>
  <c r="E12" i="5" s="1"/>
  <c r="E13" i="2"/>
  <c r="E13" i="5" s="1"/>
  <c r="E14" i="2"/>
  <c r="E14" i="5" s="1"/>
  <c r="E15" i="2"/>
  <c r="E15" i="5" s="1"/>
  <c r="E16" i="2"/>
  <c r="E16" i="5" s="1"/>
  <c r="E17" i="2"/>
  <c r="E17" i="5" s="1"/>
  <c r="E18" i="2"/>
  <c r="E18" i="5" s="1"/>
  <c r="E19" i="2"/>
  <c r="E19" i="5" s="1"/>
  <c r="E20" i="2"/>
  <c r="E20" i="5" s="1"/>
  <c r="E21" i="2"/>
  <c r="E21" i="5" s="1"/>
  <c r="E22" i="2"/>
  <c r="E22" i="5" s="1"/>
  <c r="E23" i="2"/>
  <c r="E23" i="5" s="1"/>
  <c r="E24" i="2"/>
  <c r="E24" i="5" s="1"/>
  <c r="E25" i="2"/>
  <c r="E25" i="5" s="1"/>
  <c r="E26" i="2"/>
  <c r="E26" i="5" s="1"/>
  <c r="E27" i="2"/>
  <c r="E27" i="5" s="1"/>
  <c r="E28" i="2"/>
  <c r="E28" i="5" s="1"/>
  <c r="E29" i="2"/>
  <c r="E29" i="5" s="1"/>
  <c r="E30" i="2"/>
  <c r="E30" i="5" s="1"/>
  <c r="E31" i="2"/>
  <c r="E31" i="5" s="1"/>
  <c r="E32" i="2"/>
  <c r="E32" i="5" s="1"/>
  <c r="E33" i="2"/>
  <c r="E33" i="5" s="1"/>
  <c r="E34" i="2"/>
  <c r="E34" i="5" s="1"/>
  <c r="E35" i="2"/>
  <c r="E35" i="5" s="1"/>
  <c r="E36" i="2"/>
  <c r="E36" i="5" s="1"/>
  <c r="E37" i="2"/>
  <c r="E37" i="5" s="1"/>
  <c r="E38" i="2"/>
  <c r="E38" i="5" s="1"/>
  <c r="E39" i="2"/>
  <c r="E39" i="5" s="1"/>
  <c r="E40" i="2"/>
  <c r="E40" i="5" s="1"/>
  <c r="E41" i="2"/>
  <c r="E41" i="5" s="1"/>
  <c r="E42" i="2"/>
  <c r="E42" i="5" s="1"/>
  <c r="E43" i="2"/>
  <c r="E43" i="5" s="1"/>
  <c r="E44" i="2"/>
  <c r="E44" i="5" s="1"/>
  <c r="E45" i="2"/>
  <c r="E45" i="5" s="1"/>
  <c r="E46" i="2"/>
  <c r="E46" i="5" s="1"/>
  <c r="E47" i="2"/>
  <c r="E47" i="5" s="1"/>
  <c r="E48" i="2"/>
  <c r="E48" i="5" s="1"/>
  <c r="E49" i="2"/>
  <c r="E49" i="5" s="1"/>
  <c r="E50" i="2"/>
  <c r="E50" i="5" s="1"/>
  <c r="E51" i="2"/>
  <c r="E51" i="5" s="1"/>
  <c r="E52" i="2"/>
  <c r="E52" i="5" s="1"/>
  <c r="E53" i="2"/>
  <c r="E53" i="5" s="1"/>
  <c r="E54" i="2"/>
  <c r="E54" i="5" s="1"/>
  <c r="E55" i="2"/>
  <c r="E55" i="5" s="1"/>
  <c r="E56" i="2"/>
  <c r="E56" i="5" s="1"/>
  <c r="E57" i="2"/>
  <c r="E57" i="5" s="1"/>
  <c r="E58" i="2"/>
  <c r="E58" i="5" s="1"/>
  <c r="E59" i="2"/>
  <c r="E59" i="5" s="1"/>
  <c r="E60" i="2"/>
  <c r="E60" i="5" s="1"/>
  <c r="E61" i="2"/>
  <c r="E61" i="5" s="1"/>
  <c r="E62" i="2"/>
  <c r="E62" i="5" s="1"/>
  <c r="E63" i="2"/>
  <c r="E63" i="5" s="1"/>
  <c r="E64" i="2"/>
  <c r="E64" i="5" s="1"/>
  <c r="E65" i="2"/>
  <c r="E65" i="5" s="1"/>
  <c r="F3" i="2"/>
  <c r="F3" i="5" s="1"/>
  <c r="F4" i="2"/>
  <c r="F4" i="5" s="1"/>
  <c r="G4" i="5" s="1"/>
  <c r="F5" i="2"/>
  <c r="F5" i="5" s="1"/>
  <c r="G5" i="5" s="1"/>
  <c r="F6" i="2"/>
  <c r="F6" i="5" s="1"/>
  <c r="G6" i="5" s="1"/>
  <c r="F7" i="2"/>
  <c r="F7" i="5" s="1"/>
  <c r="G7" i="5" s="1"/>
  <c r="F8" i="2"/>
  <c r="F8" i="5" s="1"/>
  <c r="G8" i="5" s="1"/>
  <c r="F9" i="2"/>
  <c r="F9" i="5" s="1"/>
  <c r="G9" i="5" s="1"/>
  <c r="F10" i="2"/>
  <c r="F10" i="5" s="1"/>
  <c r="G10" i="5" s="1"/>
  <c r="F11" i="2"/>
  <c r="F11" i="5" s="1"/>
  <c r="G11" i="5" s="1"/>
  <c r="F12" i="2"/>
  <c r="F12" i="5" s="1"/>
  <c r="G12" i="5" s="1"/>
  <c r="F13" i="2"/>
  <c r="F13" i="5" s="1"/>
  <c r="G13" i="5" s="1"/>
  <c r="F14" i="2"/>
  <c r="F14" i="5" s="1"/>
  <c r="G14" i="5" s="1"/>
  <c r="F15" i="2"/>
  <c r="F15" i="5" s="1"/>
  <c r="G15" i="5" s="1"/>
  <c r="F16" i="2"/>
  <c r="F16" i="5" s="1"/>
  <c r="G16" i="5" s="1"/>
  <c r="F17" i="2"/>
  <c r="F17" i="5" s="1"/>
  <c r="G17" i="5" s="1"/>
  <c r="F18" i="2"/>
  <c r="F18" i="5" s="1"/>
  <c r="G18" i="5" s="1"/>
  <c r="F19" i="2"/>
  <c r="F19" i="5" s="1"/>
  <c r="G19" i="5" s="1"/>
  <c r="F20" i="2"/>
  <c r="F20" i="5" s="1"/>
  <c r="G20" i="5" s="1"/>
  <c r="F21" i="2"/>
  <c r="F21" i="5" s="1"/>
  <c r="G21" i="5" s="1"/>
  <c r="F22" i="2"/>
  <c r="F22" i="5" s="1"/>
  <c r="G22" i="5" s="1"/>
  <c r="F23" i="2"/>
  <c r="F23" i="5" s="1"/>
  <c r="G23" i="5" s="1"/>
  <c r="F24" i="2"/>
  <c r="F24" i="5" s="1"/>
  <c r="G24" i="5" s="1"/>
  <c r="F25" i="2"/>
  <c r="F25" i="5" s="1"/>
  <c r="G25" i="5" s="1"/>
  <c r="F26" i="2"/>
  <c r="F26" i="5" s="1"/>
  <c r="G26" i="5" s="1"/>
  <c r="F27" i="2"/>
  <c r="F27" i="5" s="1"/>
  <c r="G27" i="5" s="1"/>
  <c r="F28" i="2"/>
  <c r="F28" i="5" s="1"/>
  <c r="G28" i="5" s="1"/>
  <c r="F29" i="2"/>
  <c r="F29" i="5" s="1"/>
  <c r="G29" i="5" s="1"/>
  <c r="F30" i="2"/>
  <c r="F30" i="5" s="1"/>
  <c r="G30" i="5" s="1"/>
  <c r="F31" i="2"/>
  <c r="F31" i="5" s="1"/>
  <c r="G31" i="5" s="1"/>
  <c r="F32" i="2"/>
  <c r="F32" i="5" s="1"/>
  <c r="G32" i="5" s="1"/>
  <c r="F33" i="2"/>
  <c r="F33" i="5" s="1"/>
  <c r="G33" i="5" s="1"/>
  <c r="F34" i="2"/>
  <c r="F34" i="5" s="1"/>
  <c r="G34" i="5" s="1"/>
  <c r="F35" i="2"/>
  <c r="F35" i="5" s="1"/>
  <c r="G35" i="5" s="1"/>
  <c r="F36" i="2"/>
  <c r="F36" i="5" s="1"/>
  <c r="G36" i="5" s="1"/>
  <c r="F37" i="2"/>
  <c r="F37" i="5" s="1"/>
  <c r="G37" i="5" s="1"/>
  <c r="F38" i="2"/>
  <c r="F38" i="5" s="1"/>
  <c r="G38" i="5" s="1"/>
  <c r="F39" i="2"/>
  <c r="F39" i="5" s="1"/>
  <c r="G39" i="5" s="1"/>
  <c r="F40" i="2"/>
  <c r="F40" i="5" s="1"/>
  <c r="G40" i="5" s="1"/>
  <c r="F41" i="2"/>
  <c r="F41" i="5" s="1"/>
  <c r="G41" i="5" s="1"/>
  <c r="F42" i="2"/>
  <c r="F42" i="5" s="1"/>
  <c r="G42" i="5" s="1"/>
  <c r="F43" i="2"/>
  <c r="F43" i="5" s="1"/>
  <c r="G43" i="5" s="1"/>
  <c r="F44" i="2"/>
  <c r="F44" i="5" s="1"/>
  <c r="G44" i="5" s="1"/>
  <c r="F45" i="2"/>
  <c r="F45" i="5" s="1"/>
  <c r="G45" i="5" s="1"/>
  <c r="F46" i="2"/>
  <c r="F46" i="5" s="1"/>
  <c r="G46" i="5" s="1"/>
  <c r="F47" i="2"/>
  <c r="F47" i="5" s="1"/>
  <c r="G47" i="5" s="1"/>
  <c r="F48" i="2"/>
  <c r="F48" i="5" s="1"/>
  <c r="G48" i="5" s="1"/>
  <c r="F49" i="2"/>
  <c r="F49" i="5" s="1"/>
  <c r="G49" i="5" s="1"/>
  <c r="F50" i="2"/>
  <c r="F50" i="5" s="1"/>
  <c r="G50" i="5" s="1"/>
  <c r="F51" i="2"/>
  <c r="F51" i="5" s="1"/>
  <c r="G51" i="5" s="1"/>
  <c r="F52" i="2"/>
  <c r="F52" i="5" s="1"/>
  <c r="G52" i="5" s="1"/>
  <c r="F53" i="2"/>
  <c r="F53" i="5" s="1"/>
  <c r="G53" i="5" s="1"/>
  <c r="F54" i="2"/>
  <c r="F54" i="5" s="1"/>
  <c r="G54" i="5" s="1"/>
  <c r="F55" i="2"/>
  <c r="F55" i="5" s="1"/>
  <c r="G55" i="5" s="1"/>
  <c r="F56" i="2"/>
  <c r="F56" i="5" s="1"/>
  <c r="G56" i="5" s="1"/>
  <c r="F57" i="2"/>
  <c r="F57" i="5" s="1"/>
  <c r="G57" i="5" s="1"/>
  <c r="F58" i="2"/>
  <c r="F58" i="5" s="1"/>
  <c r="G58" i="5" s="1"/>
  <c r="F59" i="2"/>
  <c r="F59" i="5" s="1"/>
  <c r="G59" i="5" s="1"/>
  <c r="F60" i="2"/>
  <c r="F60" i="5" s="1"/>
  <c r="G60" i="5" s="1"/>
  <c r="F61" i="2"/>
  <c r="F61" i="5" s="1"/>
  <c r="G61" i="5" s="1"/>
  <c r="F62" i="2"/>
  <c r="F62" i="5" s="1"/>
  <c r="G62" i="5" s="1"/>
  <c r="F63" i="2"/>
  <c r="F63" i="5" s="1"/>
  <c r="G63" i="5" s="1"/>
  <c r="F64" i="2"/>
  <c r="F64" i="5" s="1"/>
  <c r="G64" i="5" s="1"/>
  <c r="F65" i="2"/>
  <c r="F65" i="5" s="1"/>
  <c r="G65" i="5" s="1"/>
  <c r="V9" i="5" l="1" a="1"/>
  <c r="V9" i="5" s="1"/>
  <c r="L21" i="5" a="1"/>
  <c r="L21" i="5" s="1"/>
  <c r="O21" i="5"/>
  <c r="P27" i="5" s="1"/>
  <c r="L9" i="5" a="1"/>
  <c r="P21" i="5"/>
  <c r="T25" i="5" l="1"/>
  <c r="V10" i="5"/>
  <c r="V11" i="5"/>
  <c r="V12" i="5"/>
  <c r="M23" i="5"/>
  <c r="Q27" i="5" s="1"/>
  <c r="R27" i="5" s="1"/>
  <c r="L9" i="5"/>
  <c r="L10" i="5"/>
  <c r="N12" i="5"/>
  <c r="N10" i="5"/>
  <c r="M11" i="5"/>
  <c r="O11" i="5"/>
  <c r="M9" i="5"/>
  <c r="O9" i="5"/>
  <c r="L11" i="5"/>
  <c r="M12" i="5"/>
  <c r="O10" i="5"/>
  <c r="N11" i="5"/>
  <c r="M10" i="5"/>
  <c r="N9" i="5"/>
  <c r="O12" i="5"/>
  <c r="L12" i="5"/>
  <c r="M42" i="5" l="1"/>
  <c r="Q9" i="5" a="1"/>
  <c r="Q9" i="5" s="1"/>
  <c r="R10" i="5" l="1"/>
  <c r="M15" i="5" s="1" a="1"/>
  <c r="T10" i="5"/>
  <c r="T9" i="5"/>
  <c r="R9" i="5"/>
  <c r="R11" i="5"/>
  <c r="R12" i="5"/>
  <c r="T11" i="5"/>
  <c r="S9" i="5"/>
  <c r="T12" i="5"/>
  <c r="S10" i="5"/>
  <c r="Q10" i="5"/>
  <c r="S11" i="5"/>
  <c r="Q11" i="5"/>
  <c r="S12" i="5"/>
  <c r="Q12" i="5"/>
  <c r="M15" i="5" l="1"/>
  <c r="M18" i="5"/>
  <c r="M17" i="5"/>
  <c r="M16" i="5"/>
  <c r="M24" i="5" l="1"/>
  <c r="H11" i="5"/>
  <c r="I11" i="5" s="1"/>
  <c r="H19" i="5"/>
  <c r="I19" i="5" s="1"/>
  <c r="H27" i="5"/>
  <c r="I27" i="5" s="1"/>
  <c r="H35" i="5"/>
  <c r="I35" i="5" s="1"/>
  <c r="H43" i="5"/>
  <c r="I43" i="5" s="1"/>
  <c r="H51" i="5"/>
  <c r="I51" i="5" s="1"/>
  <c r="H59" i="5"/>
  <c r="I59" i="5" s="1"/>
  <c r="H3" i="5"/>
  <c r="I3" i="5" s="1"/>
  <c r="H42" i="5"/>
  <c r="I42" i="5" s="1"/>
  <c r="H4" i="5"/>
  <c r="I4" i="5" s="1"/>
  <c r="H12" i="5"/>
  <c r="I12" i="5" s="1"/>
  <c r="H20" i="5"/>
  <c r="I20" i="5" s="1"/>
  <c r="H28" i="5"/>
  <c r="I28" i="5" s="1"/>
  <c r="H36" i="5"/>
  <c r="I36" i="5" s="1"/>
  <c r="H44" i="5"/>
  <c r="I44" i="5" s="1"/>
  <c r="H52" i="5"/>
  <c r="I52" i="5" s="1"/>
  <c r="H60" i="5"/>
  <c r="I60" i="5" s="1"/>
  <c r="H8" i="5"/>
  <c r="I8" i="5" s="1"/>
  <c r="H56" i="5"/>
  <c r="I56" i="5" s="1"/>
  <c r="H33" i="5"/>
  <c r="I33" i="5" s="1"/>
  <c r="H18" i="5"/>
  <c r="I18" i="5" s="1"/>
  <c r="H66" i="5"/>
  <c r="I66" i="5" s="1"/>
  <c r="H5" i="5"/>
  <c r="I5" i="5" s="1"/>
  <c r="H13" i="5"/>
  <c r="I13" i="5" s="1"/>
  <c r="H21" i="5"/>
  <c r="I21" i="5" s="1"/>
  <c r="H29" i="5"/>
  <c r="I29" i="5" s="1"/>
  <c r="H37" i="5"/>
  <c r="I37" i="5" s="1"/>
  <c r="H45" i="5"/>
  <c r="I45" i="5" s="1"/>
  <c r="H53" i="5"/>
  <c r="I53" i="5" s="1"/>
  <c r="H61" i="5"/>
  <c r="I61" i="5" s="1"/>
  <c r="H24" i="5"/>
  <c r="I24" i="5" s="1"/>
  <c r="H9" i="5"/>
  <c r="I9" i="5" s="1"/>
  <c r="H65" i="5"/>
  <c r="I65" i="5" s="1"/>
  <c r="H26" i="5"/>
  <c r="I26" i="5" s="1"/>
  <c r="H6" i="5"/>
  <c r="I6" i="5" s="1"/>
  <c r="H14" i="5"/>
  <c r="I14" i="5" s="1"/>
  <c r="H22" i="5"/>
  <c r="I22" i="5" s="1"/>
  <c r="H30" i="5"/>
  <c r="I30" i="5" s="1"/>
  <c r="H38" i="5"/>
  <c r="I38" i="5" s="1"/>
  <c r="H46" i="5"/>
  <c r="I46" i="5" s="1"/>
  <c r="H54" i="5"/>
  <c r="I54" i="5" s="1"/>
  <c r="H62" i="5"/>
  <c r="I62" i="5" s="1"/>
  <c r="H55" i="5"/>
  <c r="I55" i="5" s="1"/>
  <c r="H40" i="5"/>
  <c r="I40" i="5" s="1"/>
  <c r="H25" i="5"/>
  <c r="I25" i="5" s="1"/>
  <c r="H57" i="5"/>
  <c r="I57" i="5" s="1"/>
  <c r="H58" i="5"/>
  <c r="I58" i="5" s="1"/>
  <c r="H7" i="5"/>
  <c r="I7" i="5" s="1"/>
  <c r="H15" i="5"/>
  <c r="I15" i="5" s="1"/>
  <c r="H23" i="5"/>
  <c r="I23" i="5" s="1"/>
  <c r="H31" i="5"/>
  <c r="I31" i="5" s="1"/>
  <c r="H39" i="5"/>
  <c r="I39" i="5" s="1"/>
  <c r="H47" i="5"/>
  <c r="I47" i="5" s="1"/>
  <c r="H63" i="5"/>
  <c r="I63" i="5" s="1"/>
  <c r="H32" i="5"/>
  <c r="I32" i="5" s="1"/>
  <c r="H64" i="5"/>
  <c r="I64" i="5" s="1"/>
  <c r="H49" i="5"/>
  <c r="I49" i="5" s="1"/>
  <c r="H16" i="5"/>
  <c r="I16" i="5" s="1"/>
  <c r="H48" i="5"/>
  <c r="I48" i="5" s="1"/>
  <c r="H41" i="5"/>
  <c r="I41" i="5" s="1"/>
  <c r="H10" i="5"/>
  <c r="I10" i="5" s="1"/>
  <c r="H50" i="5"/>
  <c r="I50" i="5" s="1"/>
  <c r="H17" i="5"/>
  <c r="I17" i="5" s="1"/>
  <c r="H34" i="5"/>
  <c r="I34" i="5" s="1"/>
  <c r="M25" i="5" l="1"/>
  <c r="Q26" i="5" s="1"/>
  <c r="R26" i="5" s="1"/>
  <c r="M28" i="5" s="1"/>
  <c r="M27" i="5"/>
  <c r="Q25" i="5"/>
  <c r="L33" i="5" a="1"/>
  <c r="N78" i="5" l="1"/>
  <c r="O78" i="5" s="1"/>
  <c r="M26" i="5"/>
  <c r="R25" i="5"/>
  <c r="S25" i="5" s="1"/>
  <c r="N77" i="5"/>
  <c r="N33" i="5"/>
  <c r="N36" i="5"/>
  <c r="M35" i="5"/>
  <c r="N34" i="5"/>
  <c r="M33" i="5"/>
  <c r="O35" i="5"/>
  <c r="M36" i="5"/>
  <c r="L35" i="5"/>
  <c r="O33" i="5"/>
  <c r="M34" i="5"/>
  <c r="L33" i="5"/>
  <c r="L36" i="5"/>
  <c r="O36" i="5"/>
  <c r="L34" i="5"/>
  <c r="O34" i="5"/>
  <c r="N35" i="5"/>
  <c r="N41" i="5" l="1"/>
  <c r="M48" i="5"/>
  <c r="N48" i="5"/>
  <c r="M41" i="5"/>
  <c r="N47" i="5"/>
  <c r="M47" i="5"/>
  <c r="O41" i="5"/>
  <c r="N49" i="5"/>
  <c r="M49" i="5"/>
  <c r="N76" i="5"/>
  <c r="O76" i="5" s="1"/>
  <c r="P75" i="5" s="1"/>
  <c r="N79" i="5"/>
  <c r="O77" i="5"/>
  <c r="P41" i="5"/>
  <c r="N50" i="5"/>
  <c r="M50" i="5"/>
</calcChain>
</file>

<file path=xl/sharedStrings.xml><?xml version="1.0" encoding="utf-8"?>
<sst xmlns="http://schemas.openxmlformats.org/spreadsheetml/2006/main" count="596" uniqueCount="184">
  <si>
    <t>Argentina</t>
  </si>
  <si>
    <t>Armenia</t>
  </si>
  <si>
    <t>Australia</t>
  </si>
  <si>
    <t>Austria</t>
  </si>
  <si>
    <t>Azerbaijan</t>
  </si>
  <si>
    <t>Belarus</t>
  </si>
  <si>
    <t>Belgium</t>
  </si>
  <si>
    <t>Brazil</t>
  </si>
  <si>
    <t>Bulgaria</t>
  </si>
  <si>
    <t>Burundi</t>
  </si>
  <si>
    <t>Canada</t>
  </si>
  <si>
    <t>Chile</t>
  </si>
  <si>
    <t>Colombia</t>
  </si>
  <si>
    <t>Croatia</t>
  </si>
  <si>
    <t>Cyprus</t>
  </si>
  <si>
    <t>Czech Republic</t>
  </si>
  <si>
    <t>Denmark</t>
  </si>
  <si>
    <t>El Salvador</t>
  </si>
  <si>
    <t>Estonia</t>
  </si>
  <si>
    <t>Ethiopia</t>
  </si>
  <si>
    <t>Finland</t>
  </si>
  <si>
    <t>France</t>
  </si>
  <si>
    <t>Germany</t>
  </si>
  <si>
    <t>Ghana</t>
  </si>
  <si>
    <t>Guatemala</t>
  </si>
  <si>
    <t>Hong Kong SAR, China</t>
  </si>
  <si>
    <t>Hungary</t>
  </si>
  <si>
    <t>India</t>
  </si>
  <si>
    <t>Ireland</t>
  </si>
  <si>
    <t>Israel</t>
  </si>
  <si>
    <t>Italy</t>
  </si>
  <si>
    <t>Japan</t>
  </si>
  <si>
    <t>Kenya</t>
  </si>
  <si>
    <t>Kyrgyz Republic</t>
  </si>
  <si>
    <t>Latvia</t>
  </si>
  <si>
    <t>Macao SAR, China</t>
  </si>
  <si>
    <t>Malaysia</t>
  </si>
  <si>
    <t>Mali</t>
  </si>
  <si>
    <t>Malta</t>
  </si>
  <si>
    <t>Mexico</t>
  </si>
  <si>
    <t>Moldova</t>
  </si>
  <si>
    <t>Mongolia</t>
  </si>
  <si>
    <t>Namibia</t>
  </si>
  <si>
    <t>Nepal</t>
  </si>
  <si>
    <t>Netherlands</t>
  </si>
  <si>
    <t>Norway</t>
  </si>
  <si>
    <t>Poland</t>
  </si>
  <si>
    <t>Portugal</t>
  </si>
  <si>
    <t>Romania</t>
  </si>
  <si>
    <t>Senegal</t>
  </si>
  <si>
    <t>Serbia</t>
  </si>
  <si>
    <t>Singapore</t>
  </si>
  <si>
    <t>Slovak Republic</t>
  </si>
  <si>
    <t>Slovenia</t>
  </si>
  <si>
    <t>South Africa</t>
  </si>
  <si>
    <t>Spain</t>
  </si>
  <si>
    <t>Sri Lanka</t>
  </si>
  <si>
    <t>Sweden</t>
  </si>
  <si>
    <t>Tajikistan</t>
  </si>
  <si>
    <t>Tanzania</t>
  </si>
  <si>
    <t>Togo</t>
  </si>
  <si>
    <t>Uganda</t>
  </si>
  <si>
    <t>United Kingdom</t>
  </si>
  <si>
    <t>United States</t>
  </si>
  <si>
    <t>Taxa Crescimento (%)</t>
  </si>
  <si>
    <t>Gastos P&amp;D (%)</t>
  </si>
  <si>
    <t>PIB per capita (US$ constantes de 2005)</t>
  </si>
  <si>
    <t>Razão de Dependência de Jovens (%)</t>
  </si>
  <si>
    <t>Gastos com educação (%)</t>
  </si>
  <si>
    <t>País</t>
  </si>
  <si>
    <t>Variável Y</t>
  </si>
  <si>
    <t>Insira seu RA abaixo</t>
  </si>
  <si>
    <t>RA</t>
  </si>
  <si>
    <r>
      <rPr>
        <b/>
        <sz val="16"/>
        <color theme="1"/>
        <rFont val="Calibri"/>
        <family val="2"/>
        <scheme val="minor"/>
      </rPr>
      <t>Escola Superior de Administração, Marketing e Comunicação (ESAMC)</t>
    </r>
    <r>
      <rPr>
        <b/>
        <sz val="14"/>
        <color theme="1"/>
        <rFont val="Calibri"/>
        <family val="2"/>
        <scheme val="minor"/>
      </rPr>
      <t xml:space="preserve">
10175/A - Econometria   -   1º Sem. de 2021   -   Prof. Pier Francesco De Maria</t>
    </r>
  </si>
  <si>
    <t>Exercícios</t>
  </si>
  <si>
    <t>Hong Kong</t>
  </si>
  <si>
    <t>Macao</t>
  </si>
  <si>
    <t>Variável X1</t>
  </si>
  <si>
    <t>Variável X2</t>
  </si>
  <si>
    <t>Variável X3</t>
  </si>
  <si>
    <r>
      <rPr>
        <b/>
        <sz val="13"/>
        <color rgb="FFFF0000"/>
        <rFont val="Calibri"/>
        <family val="2"/>
        <scheme val="minor"/>
      </rPr>
      <t>Prova 1 / Parte B</t>
    </r>
    <r>
      <rPr>
        <sz val="13"/>
        <color rgb="FFFF0000"/>
        <rFont val="Calibri"/>
        <family val="2"/>
        <scheme val="minor"/>
      </rPr>
      <t xml:space="preserve"> (Modelo de Regressão Linear Múltipla)</t>
    </r>
  </si>
  <si>
    <t>→ Use estes resultados, que são a variável "Número de Jovens", no lugar da variável anterior</t>
  </si>
  <si>
    <t>→ Faça o seu modelo com anamorfose, realizando troca da forma funcional na variável "Número de Jovens"</t>
  </si>
  <si>
    <t>População</t>
  </si>
  <si>
    <t>→ Pegue a variável "Razão de Dependência de Jovens" e multiplique pelos valores que estão na coluna H (população)</t>
  </si>
  <si>
    <r>
      <rPr>
        <b/>
        <sz val="12"/>
        <color theme="1"/>
        <rFont val="Calibri"/>
        <family val="2"/>
        <scheme val="minor"/>
      </rPr>
      <t xml:space="preserve">1) (0.75 pontos) </t>
    </r>
    <r>
      <rPr>
        <sz val="12"/>
        <color theme="1"/>
        <rFont val="Calibri"/>
        <family val="2"/>
        <scheme val="minor"/>
      </rPr>
      <t>Construa as matrizes necessárias para calcular adequadamente o modelo de regressão.</t>
    </r>
  </si>
  <si>
    <r>
      <rPr>
        <b/>
        <sz val="12"/>
        <color theme="1"/>
        <rFont val="Calibri"/>
        <family val="2"/>
        <scheme val="minor"/>
      </rPr>
      <t xml:space="preserve">2) (1.00 pontos) </t>
    </r>
    <r>
      <rPr>
        <sz val="12"/>
        <color theme="1"/>
        <rFont val="Calibri"/>
        <family val="2"/>
        <scheme val="minor"/>
      </rPr>
      <t xml:space="preserve">Estime os coeficientes do modelo de regressão </t>
    </r>
    <r>
      <rPr>
        <sz val="12"/>
        <color theme="1"/>
        <rFont val="Calibri"/>
        <family val="2"/>
      </rPr>
      <t>Ŷ = α + β</t>
    </r>
    <r>
      <rPr>
        <vertAlign val="subscript"/>
        <sz val="12"/>
        <color theme="1"/>
        <rFont val="Calibri"/>
        <family val="2"/>
      </rPr>
      <t>1</t>
    </r>
    <r>
      <rPr>
        <sz val="12"/>
        <color theme="1"/>
        <rFont val="Calibri"/>
        <family val="2"/>
      </rPr>
      <t>X</t>
    </r>
    <r>
      <rPr>
        <vertAlign val="subscript"/>
        <sz val="12"/>
        <color theme="1"/>
        <rFont val="Calibri"/>
        <family val="2"/>
      </rPr>
      <t>1</t>
    </r>
    <r>
      <rPr>
        <sz val="12"/>
        <color theme="1"/>
        <rFont val="Calibri"/>
        <family val="2"/>
      </rPr>
      <t xml:space="preserve"> + β</t>
    </r>
    <r>
      <rPr>
        <vertAlign val="subscript"/>
        <sz val="12"/>
        <color theme="1"/>
        <rFont val="Calibri"/>
        <family val="2"/>
      </rPr>
      <t>2</t>
    </r>
    <r>
      <rPr>
        <sz val="12"/>
        <color theme="1"/>
        <rFont val="Calibri"/>
        <family val="2"/>
      </rPr>
      <t>X</t>
    </r>
    <r>
      <rPr>
        <vertAlign val="subscript"/>
        <sz val="12"/>
        <color theme="1"/>
        <rFont val="Calibri"/>
        <family val="2"/>
      </rPr>
      <t>2</t>
    </r>
    <r>
      <rPr>
        <sz val="12"/>
        <color theme="1"/>
        <rFont val="Calibri"/>
        <family val="2"/>
      </rPr>
      <t xml:space="preserve"> + β</t>
    </r>
    <r>
      <rPr>
        <vertAlign val="subscript"/>
        <sz val="12"/>
        <color theme="1"/>
        <rFont val="Calibri"/>
        <family val="2"/>
      </rPr>
      <t>3</t>
    </r>
    <r>
      <rPr>
        <sz val="12"/>
        <color theme="1"/>
        <rFont val="Calibri"/>
        <family val="2"/>
      </rPr>
      <t>X</t>
    </r>
    <r>
      <rPr>
        <vertAlign val="subscript"/>
        <sz val="12"/>
        <color theme="1"/>
        <rFont val="Calibri"/>
        <family val="2"/>
      </rPr>
      <t>3</t>
    </r>
    <r>
      <rPr>
        <sz val="12"/>
        <color theme="1"/>
        <rFont val="Calibri"/>
        <family val="2"/>
        <scheme val="minor"/>
      </rPr>
      <t xml:space="preserve"> . Interprete o modelo obtido.</t>
    </r>
  </si>
  <si>
    <r>
      <rPr>
        <b/>
        <sz val="12"/>
        <color theme="1"/>
        <rFont val="Calibri"/>
        <family val="2"/>
        <scheme val="minor"/>
      </rPr>
      <t xml:space="preserve">3) (0.75 pontos) </t>
    </r>
    <r>
      <rPr>
        <sz val="12"/>
        <color theme="1"/>
        <rFont val="Calibri"/>
        <family val="2"/>
        <scheme val="minor"/>
      </rPr>
      <t>Avalie, individualmente, se os coeficientes obtidos são estatisticamente significativos.</t>
    </r>
  </si>
  <si>
    <r>
      <rPr>
        <b/>
        <sz val="12"/>
        <color theme="1"/>
        <rFont val="Calibri"/>
        <family val="2"/>
        <scheme val="minor"/>
      </rPr>
      <t xml:space="preserve">4) (0.50 pontos) </t>
    </r>
    <r>
      <rPr>
        <sz val="12"/>
        <color theme="1"/>
        <rFont val="Calibri"/>
        <family val="2"/>
        <scheme val="minor"/>
      </rPr>
      <t>Obtenha o R² e o R² ajustado. Interprete o segundo valor.</t>
    </r>
  </si>
  <si>
    <r>
      <rPr>
        <b/>
        <sz val="12"/>
        <color theme="1"/>
        <rFont val="Calibri"/>
        <family val="2"/>
        <scheme val="minor"/>
      </rPr>
      <t xml:space="preserve">5) (0.50 pontos) </t>
    </r>
    <r>
      <rPr>
        <sz val="12"/>
        <color theme="1"/>
        <rFont val="Calibri"/>
        <family val="2"/>
        <scheme val="minor"/>
      </rPr>
      <t>Monte a tabela ANOVA e identifique se o modelo é estatisticamente válido.</t>
    </r>
  </si>
  <si>
    <r>
      <rPr>
        <b/>
        <sz val="12"/>
        <color theme="1"/>
        <rFont val="Calibri"/>
        <family val="2"/>
        <scheme val="minor"/>
      </rPr>
      <t xml:space="preserve">6) (0.50 pontos) </t>
    </r>
    <r>
      <rPr>
        <sz val="12"/>
        <color theme="1"/>
        <rFont val="Calibri"/>
        <family val="2"/>
        <scheme val="minor"/>
      </rPr>
      <t xml:space="preserve">Obtenha o intervalo de confiança para os estimadores </t>
    </r>
    <r>
      <rPr>
        <sz val="12"/>
        <color theme="1"/>
        <rFont val="Calibri"/>
        <family val="2"/>
      </rPr>
      <t>α e β</t>
    </r>
    <r>
      <rPr>
        <sz val="12"/>
        <color theme="1"/>
        <rFont val="Calibri"/>
        <family val="2"/>
        <scheme val="minor"/>
      </rPr>
      <t>.</t>
    </r>
  </si>
  <si>
    <r>
      <rPr>
        <b/>
        <sz val="12"/>
        <color theme="1"/>
        <rFont val="Calibri"/>
        <family val="2"/>
        <scheme val="minor"/>
      </rPr>
      <t xml:space="preserve">7) (0.50 pontos) </t>
    </r>
    <r>
      <rPr>
        <sz val="12"/>
        <color theme="1"/>
        <rFont val="Calibri"/>
        <family val="2"/>
        <scheme val="minor"/>
      </rPr>
      <t xml:space="preserve">Faça e interprete o teste de contribuição marginal tirando </t>
    </r>
    <r>
      <rPr>
        <u/>
        <sz val="12"/>
        <color theme="1"/>
        <rFont val="Calibri"/>
        <family val="2"/>
        <scheme val="minor"/>
      </rPr>
      <t>a variável indicada</t>
    </r>
    <r>
      <rPr>
        <sz val="12"/>
        <color theme="1"/>
        <rFont val="Calibri"/>
        <family val="2"/>
        <scheme val="minor"/>
      </rPr>
      <t xml:space="preserve">.   →   </t>
    </r>
  </si>
  <si>
    <r>
      <rPr>
        <b/>
        <sz val="12"/>
        <color theme="1"/>
        <rFont val="Calibri"/>
        <family val="2"/>
        <scheme val="minor"/>
      </rPr>
      <t xml:space="preserve">8) (0.50 pontos) </t>
    </r>
    <r>
      <rPr>
        <sz val="12"/>
        <color theme="1"/>
        <rFont val="Calibri"/>
        <family val="2"/>
        <scheme val="minor"/>
      </rPr>
      <t xml:space="preserve">Realize uma anamorfose do modelo loriginal, transformando a única variável não percentual do seu modelo em logaritmo. </t>
    </r>
    <r>
      <rPr>
        <u/>
        <sz val="12"/>
        <color theme="1"/>
        <rFont val="Calibri"/>
        <family val="2"/>
        <scheme val="minor"/>
      </rPr>
      <t>Se o seu modelo não tiver variável não-percentual, faça o que for indicado abaixo</t>
    </r>
    <r>
      <rPr>
        <sz val="12"/>
        <color theme="1"/>
        <rFont val="Calibri"/>
        <family val="2"/>
        <scheme val="minor"/>
      </rPr>
      <t>:</t>
    </r>
  </si>
  <si>
    <r>
      <t xml:space="preserve">População </t>
    </r>
    <r>
      <rPr>
        <sz val="11"/>
        <color rgb="FFFF0000"/>
        <rFont val="Calibri"/>
        <family val="2"/>
        <scheme val="minor"/>
      </rPr>
      <t xml:space="preserve">(só use essa variável no item 8, </t>
    </r>
    <r>
      <rPr>
        <u/>
        <sz val="11"/>
        <color rgb="FFFF0000"/>
        <rFont val="Calibri"/>
        <family val="2"/>
        <scheme val="minor"/>
      </rPr>
      <t>SE ESTE FOR O SEU CASO</t>
    </r>
    <r>
      <rPr>
        <sz val="11"/>
        <color rgb="FFFF0000"/>
        <rFont val="Calibri"/>
        <family val="2"/>
        <scheme val="minor"/>
      </rPr>
      <t>)</t>
    </r>
  </si>
  <si>
    <r>
      <t xml:space="preserve">A pontuação máxima desta prova é </t>
    </r>
    <r>
      <rPr>
        <u/>
        <sz val="12"/>
        <color theme="1"/>
        <rFont val="Calibri"/>
        <family val="2"/>
        <scheme val="minor"/>
      </rPr>
      <t>5.0 (cinco) pontos</t>
    </r>
    <r>
      <rPr>
        <sz val="12"/>
        <color theme="1"/>
        <rFont val="Calibri"/>
        <family val="2"/>
        <scheme val="minor"/>
      </rPr>
      <t xml:space="preserve">. À nota desta prova será somada a nota da Parte 1, compondo a nota da P1.
Você recebeu as variáveis ao lado (uma Y e três X) para criar um modelo de regressão linear múltipla (RLM). Faça o que é pedido, </t>
    </r>
    <r>
      <rPr>
        <u/>
        <sz val="12"/>
        <color theme="1"/>
        <rFont val="Calibri"/>
        <family val="2"/>
        <scheme val="minor"/>
      </rPr>
      <t>na ordem indicada</t>
    </r>
    <r>
      <rPr>
        <sz val="12"/>
        <color theme="1"/>
        <rFont val="Calibri"/>
        <family val="2"/>
        <scheme val="minor"/>
      </rPr>
      <t xml:space="preserve">, por meio de fórmulas matriciais. </t>
    </r>
    <r>
      <rPr>
        <b/>
        <u/>
        <sz val="12"/>
        <color theme="1"/>
        <rFont val="Calibri"/>
        <family val="2"/>
        <scheme val="minor"/>
      </rPr>
      <t>NÃO use</t>
    </r>
    <r>
      <rPr>
        <sz val="12"/>
        <color theme="1"/>
        <rFont val="Calibri"/>
        <family val="2"/>
        <scheme val="minor"/>
      </rPr>
      <t xml:space="preserve"> o método rápido ("Análise de Dados") para apresentar as respostas, pois estas não serão consideradas para avaliação. Use a aba "Folha de Respostas" para fazer as contas necessárias (você não tem como adicionar/eliminar abas). </t>
    </r>
    <r>
      <rPr>
        <u/>
        <sz val="12"/>
        <color theme="1"/>
        <rFont val="Calibri"/>
        <family val="2"/>
        <scheme val="minor"/>
      </rPr>
      <t>Deixe todas as fórmulas</t>
    </r>
    <r>
      <rPr>
        <sz val="12"/>
        <color theme="1"/>
        <rFont val="Calibri"/>
        <family val="2"/>
        <scheme val="minor"/>
      </rPr>
      <t xml:space="preserve">! Você terá até 26/04 (23h59) para fazer e entregar esta prova. Ao terminar a sua prova, </t>
    </r>
    <r>
      <rPr>
        <b/>
        <u/>
        <sz val="12"/>
        <color theme="1"/>
        <rFont val="Calibri"/>
        <family val="2"/>
        <scheme val="minor"/>
      </rPr>
      <t>SALVE O ARQUIVO E ENVIE PARA O E-MAIL</t>
    </r>
    <r>
      <rPr>
        <sz val="12"/>
        <color theme="1"/>
        <rFont val="Calibri"/>
        <family val="2"/>
        <scheme val="minor"/>
      </rPr>
      <t xml:space="preserve"> pier.francesco@esamc.br!</t>
    </r>
  </si>
  <si>
    <t>A coluna H foi replicada na outra aba!</t>
  </si>
  <si>
    <r>
      <t xml:space="preserve">Inversão da matriz </t>
    </r>
    <r>
      <rPr>
        <b/>
        <sz val="10"/>
        <color rgb="FF000000"/>
        <rFont val="Calibri"/>
        <family val="2"/>
        <scheme val="minor"/>
      </rPr>
      <t>X</t>
    </r>
    <r>
      <rPr>
        <b/>
        <vertAlign val="superscript"/>
        <sz val="10"/>
        <color rgb="FF000000"/>
        <rFont val="Calibri"/>
        <family val="2"/>
        <scheme val="minor"/>
      </rPr>
      <t>T</t>
    </r>
    <r>
      <rPr>
        <b/>
        <sz val="10"/>
        <color rgb="FF000000"/>
        <rFont val="Calibri"/>
        <family val="2"/>
        <scheme val="minor"/>
      </rPr>
      <t>X</t>
    </r>
  </si>
  <si>
    <r>
      <t xml:space="preserve">Inversão da matriz </t>
    </r>
    <r>
      <rPr>
        <b/>
        <sz val="10"/>
        <color rgb="FF000000"/>
        <rFont val="Calibri"/>
        <family val="2"/>
        <scheme val="minor"/>
      </rPr>
      <t>X</t>
    </r>
    <r>
      <rPr>
        <sz val="10"/>
        <color rgb="FF000000"/>
        <rFont val="Calibri"/>
        <family val="2"/>
        <scheme val="minor"/>
      </rPr>
      <t xml:space="preserve"> para obter a</t>
    </r>
    <r>
      <rPr>
        <sz val="10"/>
        <color indexed="8"/>
        <rFont val="Calibri"/>
        <family val="2"/>
        <scheme val="minor"/>
      </rPr>
      <t xml:space="preserve"> MATRIZ </t>
    </r>
    <r>
      <rPr>
        <b/>
        <sz val="10"/>
        <color rgb="FF000000"/>
        <rFont val="Calibri"/>
        <family val="2"/>
        <scheme val="minor"/>
      </rPr>
      <t>X</t>
    </r>
    <r>
      <rPr>
        <b/>
        <vertAlign val="superscript"/>
        <sz val="10"/>
        <color rgb="FF000000"/>
        <rFont val="Calibri"/>
        <family val="2"/>
        <scheme val="minor"/>
      </rPr>
      <t>T</t>
    </r>
  </si>
  <si>
    <r>
      <rPr>
        <sz val="10"/>
        <rFont val="Calibri"/>
        <family val="2"/>
        <scheme val="minor"/>
      </rPr>
      <t xml:space="preserve">Multiplicação da matriz </t>
    </r>
    <r>
      <rPr>
        <b/>
        <sz val="10"/>
        <rFont val="Calibri"/>
        <family val="2"/>
        <scheme val="minor"/>
      </rPr>
      <t>X</t>
    </r>
    <r>
      <rPr>
        <b/>
        <vertAlign val="superscript"/>
        <sz val="10"/>
        <rFont val="Calibri"/>
        <family val="2"/>
        <scheme val="minor"/>
      </rPr>
      <t>T</t>
    </r>
    <r>
      <rPr>
        <sz val="10"/>
        <rFont val="Calibri"/>
        <family val="2"/>
        <scheme val="minor"/>
      </rPr>
      <t xml:space="preserve"> pela matriz </t>
    </r>
    <r>
      <rPr>
        <b/>
        <sz val="10"/>
        <rFont val="Calibri"/>
        <family val="2"/>
        <scheme val="minor"/>
      </rPr>
      <t>y</t>
    </r>
  </si>
  <si>
    <t>α</t>
  </si>
  <si>
    <r>
      <t>β</t>
    </r>
    <r>
      <rPr>
        <b/>
        <vertAlign val="subscript"/>
        <sz val="10"/>
        <color theme="0"/>
        <rFont val="Calibri"/>
        <family val="2"/>
        <scheme val="minor"/>
      </rPr>
      <t>1</t>
    </r>
  </si>
  <si>
    <r>
      <t>β</t>
    </r>
    <r>
      <rPr>
        <b/>
        <vertAlign val="subscript"/>
        <sz val="10"/>
        <color theme="0"/>
        <rFont val="Calibri"/>
        <family val="2"/>
        <scheme val="minor"/>
      </rPr>
      <t>2</t>
    </r>
  </si>
  <si>
    <r>
      <t>β</t>
    </r>
    <r>
      <rPr>
        <b/>
        <vertAlign val="subscript"/>
        <sz val="10"/>
        <color theme="0"/>
        <rFont val="Calibri"/>
        <family val="2"/>
        <scheme val="minor"/>
      </rPr>
      <t>3</t>
    </r>
  </si>
  <si>
    <t xml:space="preserve">Cálculo dos coeficientes </t>
  </si>
  <si>
    <t>Análise dos coeficientes</t>
  </si>
  <si>
    <r>
      <t>y</t>
    </r>
    <r>
      <rPr>
        <b/>
        <vertAlign val="superscript"/>
        <sz val="10"/>
        <rFont val="Calibri"/>
        <family val="2"/>
        <scheme val="minor"/>
      </rPr>
      <t>T</t>
    </r>
    <r>
      <rPr>
        <b/>
        <sz val="10"/>
        <rFont val="Calibri"/>
        <family val="2"/>
        <scheme val="minor"/>
      </rPr>
      <t>y</t>
    </r>
  </si>
  <si>
    <r>
      <rPr>
        <b/>
        <sz val="10"/>
        <rFont val="Calibri"/>
        <family val="2"/>
      </rPr>
      <t>β</t>
    </r>
    <r>
      <rPr>
        <b/>
        <vertAlign val="superscript"/>
        <sz val="10"/>
        <rFont val="Calibri"/>
        <family val="2"/>
        <scheme val="minor"/>
      </rPr>
      <t>T</t>
    </r>
    <r>
      <rPr>
        <b/>
        <sz val="10"/>
        <rFont val="Calibri"/>
        <family val="2"/>
        <scheme val="minor"/>
      </rPr>
      <t>X</t>
    </r>
    <r>
      <rPr>
        <b/>
        <vertAlign val="superscript"/>
        <sz val="10"/>
        <rFont val="Calibri"/>
        <family val="2"/>
        <scheme val="minor"/>
      </rPr>
      <t>T</t>
    </r>
    <r>
      <rPr>
        <b/>
        <sz val="10"/>
        <rFont val="Calibri"/>
        <family val="2"/>
        <scheme val="minor"/>
      </rPr>
      <t>y</t>
    </r>
  </si>
  <si>
    <t>n</t>
  </si>
  <si>
    <t>Ybarra</t>
  </si>
  <si>
    <t>STQ</t>
  </si>
  <si>
    <t>SQReg</t>
  </si>
  <si>
    <t>SQRes</t>
  </si>
  <si>
    <t>R²</t>
  </si>
  <si>
    <t>Resultado</t>
  </si>
  <si>
    <t>TABELA ANOVA</t>
  </si>
  <si>
    <t>Fonte</t>
  </si>
  <si>
    <t>GL</t>
  </si>
  <si>
    <t>SQ</t>
  </si>
  <si>
    <t>QM</t>
  </si>
  <si>
    <t>F(calc)</t>
  </si>
  <si>
    <t>Regressão</t>
  </si>
  <si>
    <t>Resíduos</t>
  </si>
  <si>
    <t>Total</t>
  </si>
  <si>
    <t>RESUMO DOS RESULTADOS</t>
  </si>
  <si>
    <t>Estatística de regressão</t>
  </si>
  <si>
    <t>R múltiplo</t>
  </si>
  <si>
    <t>R-Quadrado</t>
  </si>
  <si>
    <t>R-quadrado ajustado</t>
  </si>
  <si>
    <t>Erro padrão</t>
  </si>
  <si>
    <t>Observações</t>
  </si>
  <si>
    <t>ANOVA</t>
  </si>
  <si>
    <t>Resíduo</t>
  </si>
  <si>
    <t>Interseção</t>
  </si>
  <si>
    <t>gl</t>
  </si>
  <si>
    <t>MQ</t>
  </si>
  <si>
    <t>F</t>
  </si>
  <si>
    <t>F de significação</t>
  </si>
  <si>
    <t>Coeficientes</t>
  </si>
  <si>
    <t>Stat t</t>
  </si>
  <si>
    <t>valor-P</t>
  </si>
  <si>
    <t>95% inferiores</t>
  </si>
  <si>
    <t>95% superiores</t>
  </si>
  <si>
    <t>Inferior 95,0%</t>
  </si>
  <si>
    <t>Superior 95,0%</t>
  </si>
  <si>
    <t>R² ajustado</t>
  </si>
  <si>
    <r>
      <rPr>
        <sz val="10"/>
        <rFont val="Calibri Light"/>
        <family val="2"/>
        <scheme val="major"/>
      </rPr>
      <t xml:space="preserve">Multiplicação das matrizes e obter a MATRIZ </t>
    </r>
    <r>
      <rPr>
        <b/>
        <sz val="10"/>
        <rFont val="Calibri Light"/>
        <family val="2"/>
        <scheme val="major"/>
      </rPr>
      <t>X</t>
    </r>
    <r>
      <rPr>
        <b/>
        <vertAlign val="superscript"/>
        <sz val="10"/>
        <rFont val="Calibri Light"/>
        <family val="2"/>
        <scheme val="major"/>
      </rPr>
      <t>T</t>
    </r>
    <r>
      <rPr>
        <b/>
        <sz val="10"/>
        <rFont val="Calibri Light"/>
        <family val="2"/>
        <scheme val="major"/>
      </rPr>
      <t>X</t>
    </r>
  </si>
  <si>
    <t>β1</t>
  </si>
  <si>
    <t>β2</t>
  </si>
  <si>
    <t>β3</t>
  </si>
  <si>
    <t>t(calc)</t>
  </si>
  <si>
    <t>t(crit)</t>
  </si>
  <si>
    <t>sigma^²</t>
  </si>
  <si>
    <t>Matriz VAR-COVAR</t>
  </si>
  <si>
    <t>ê</t>
  </si>
  <si>
    <t>y^</t>
  </si>
  <si>
    <t>F (crit)</t>
  </si>
  <si>
    <t xml:space="preserve">Rejeição da hipótese nula (H0), pois F(calc) é maior que F(crit). O que configura que pelo menos um dos coeficientes beta é diferente de 0, portanto, são estatisticamente significativos. </t>
  </si>
  <si>
    <t>Intervalo de confiança</t>
  </si>
  <si>
    <t>IC(α)</t>
  </si>
  <si>
    <t>IC(β1)</t>
  </si>
  <si>
    <t>IC(β2)</t>
  </si>
  <si>
    <t>IC(β3)</t>
  </si>
  <si>
    <t>Limt. Superior</t>
  </si>
  <si>
    <t>Limt. Inferior</t>
  </si>
  <si>
    <t xml:space="preserve">O objetivo do R² ajustado é ponderar o resultado obtido pelo R².  Por se tratar de um modelo de regressão multipla, é recomendado considerarmos este indicador. Ou seja, 15% da variabilidade do Y é explicado pelos X's do modelo. </t>
  </si>
  <si>
    <t>Reg. Restrita</t>
  </si>
  <si>
    <t>Contribuição</t>
  </si>
  <si>
    <t>Reg. Irrestrita</t>
  </si>
  <si>
    <t>F(crit)</t>
  </si>
  <si>
    <t>Rejeita hipótese nula, pois f(calc) é maior que f(crit). Variável X3 tem contribuição marginal significativa.</t>
  </si>
  <si>
    <t xml:space="preserve">Contribuição Marginal </t>
  </si>
  <si>
    <t>Teste de contribuição marginal</t>
  </si>
  <si>
    <t>Taxa de crescimento por população</t>
  </si>
  <si>
    <r>
      <t>β</t>
    </r>
    <r>
      <rPr>
        <b/>
        <vertAlign val="subscript"/>
        <sz val="10"/>
        <color theme="0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</si>
  <si>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t>Variável X4</t>
  </si>
  <si>
    <t>A cada aumento de 1 p.p da taxa de crescimento por população, não há alteração em gastos com P&amp;D.</t>
  </si>
  <si>
    <t>A cada aumento de 1 p.p da razão de dependencia dos jovens, há redução de 1,3% em gastos com P&amp;D.</t>
  </si>
  <si>
    <t>A cada aumento de 1 p.p em gastos com eduação, há redução de 4,1% em gastos com P&amp;D.</t>
  </si>
  <si>
    <t>A cada aumento de 1 p.p da taxa de crescimento, há redução de 1,5% em gastos com P&amp;D.</t>
  </si>
  <si>
    <t>A cada aumento de 1 p.p em gastos com eduação, há redução de 4,5% em gastos com P&amp;D.</t>
  </si>
  <si>
    <t>A cada aumento de 1 p.p da taxa de crescimento, há redução de 1,4% em gastos com P&amp;D.</t>
  </si>
  <si>
    <t xml:space="preserve">Todos os coeficientes isoladamente não são siginificativos, pois o resultado de todos os t(calc) são menores que o resultado do t(crit). Portanto não rejeitamos H0. O resultado pode ser explicado por uma multicolinearidade. </t>
  </si>
  <si>
    <t>Gastos com P&amp;D = alfa + b1 (Dependencia de jovens) + b2 (Gastos com educação) + b3 (Taxa de crescimento)</t>
  </si>
  <si>
    <t>Gastos com P&amp;D = alfa + b1 (Dependencia de jovens) + b2 (Gastos com educação) + b3 (Taxa de crescimento) + b4 (Crescimento por população)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</si>
</sst>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64" formatCode="_-* #,##0_-;\-* #,##0_-;_-* &quot;-&quot;??_-;_-@_-"/>
    <numFmt numFmtId="165" formatCode="0.000"/>
    <numFmt numFmtId="166" formatCode="0.0000"/>
    <numFmt numFmtId="167" formatCode="0.000000"/>
    <numFmt numFmtId="168" formatCode="0.000%"/>
    <numFmt numFmtId="169" formatCode="0.0000%"/>
    <numFmt numFmtId="170" formatCode="#,##0.000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FF0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rgb="FFFF0000"/>
      <name val="Calibri"/>
      <family val="2"/>
      <scheme val="minor"/>
    </font>
    <font>
      <vertAlign val="subscript"/>
      <sz val="12"/>
      <color theme="1"/>
      <name val="Calibri"/>
      <family val="2"/>
    </font>
    <font>
      <b/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2"/>
      <color theme="0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sz val="10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vertAlign val="superscript"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name val="Calibri Light"/>
      <family val="2"/>
      <scheme val="major"/>
    </font>
    <font>
      <b/>
      <sz val="10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vertAlign val="subscript"/>
      <sz val="10"/>
      <color theme="0"/>
      <name val="Calibri"/>
      <family val="2"/>
      <scheme val="minor"/>
    </font>
    <font>
      <b/>
      <sz val="10"/>
      <name val="Calibri"/>
      <family val="2"/>
    </font>
    <font>
      <sz val="9"/>
      <color indexed="8"/>
      <name val="Calibri"/>
      <family val="2"/>
      <scheme val="minor"/>
    </font>
    <font>
      <b/>
      <sz val="10"/>
      <color theme="0"/>
      <name val="Calibri Light"/>
      <family val="2"/>
      <scheme val="major"/>
    </font>
    <font>
      <b/>
      <sz val="11"/>
      <color indexed="8"/>
      <name val="Calibri Light"/>
      <family val="2"/>
      <scheme val="major"/>
    </font>
    <font>
      <sz val="11"/>
      <color indexed="8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sz val="10"/>
      <name val="Calibri Light"/>
      <family val="2"/>
      <scheme val="major"/>
    </font>
    <font>
      <b/>
      <sz val="10"/>
      <name val="Calibri Light"/>
      <family val="2"/>
      <scheme val="major"/>
    </font>
    <font>
      <b/>
      <vertAlign val="superscript"/>
      <sz val="10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i/>
      <sz val="12"/>
      <color theme="1"/>
      <name val="Calibri Light"/>
      <family val="2"/>
      <scheme val="major"/>
    </font>
    <font>
      <i/>
      <sz val="12"/>
      <name val="Calibri Light"/>
      <family val="2"/>
      <scheme val="major"/>
    </font>
    <font>
      <b/>
      <sz val="16"/>
      <color theme="0"/>
      <name val="Calibri Light"/>
      <family val="2"/>
      <scheme val="major"/>
    </font>
    <font>
      <i/>
      <sz val="14"/>
      <color theme="3"/>
      <name val="Calibri"/>
      <family val="2"/>
      <scheme val="minor"/>
    </font>
    <font>
      <i/>
      <sz val="12"/>
      <color theme="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6">
    <xf numFmtId="0" fontId="0" fillId="0" borderId="0" xfId="0"/>
    <xf numFmtId="0" fontId="4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0" fillId="0" borderId="0" xfId="0" applyAlignment="1">
      <alignment horizontal="left"/>
    </xf>
    <xf numFmtId="0" fontId="2" fillId="0" borderId="0" xfId="0" applyFont="1"/>
    <xf numFmtId="43" fontId="3" fillId="0" borderId="1" xfId="1" applyFont="1" applyBorder="1" applyAlignment="1">
      <alignment horizontal="right" vertical="center"/>
    </xf>
    <xf numFmtId="0" fontId="0" fillId="0" borderId="0" xfId="0" applyAlignment="1">
      <alignment horizontal="right"/>
    </xf>
    <xf numFmtId="0" fontId="4" fillId="0" borderId="1" xfId="0" applyFont="1" applyBorder="1" applyAlignment="1">
      <alignment horizontal="left" vertical="center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horizontal="center" vertical="center" wrapText="1"/>
      <protection hidden="1"/>
    </xf>
    <xf numFmtId="0" fontId="7" fillId="0" borderId="6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4" fontId="6" fillId="0" borderId="2" xfId="0" applyNumberFormat="1" applyFont="1" applyBorder="1" applyAlignment="1" applyProtection="1">
      <alignment horizontal="center" vertical="center"/>
      <protection hidden="1"/>
    </xf>
    <xf numFmtId="4" fontId="6" fillId="0" borderId="3" xfId="0" applyNumberFormat="1" applyFont="1" applyBorder="1" applyAlignment="1" applyProtection="1">
      <alignment horizontal="center" vertical="center"/>
      <protection hidden="1"/>
    </xf>
    <xf numFmtId="0" fontId="5" fillId="0" borderId="9" xfId="0" applyFont="1" applyBorder="1" applyAlignment="1" applyProtection="1">
      <alignment horizontal="center" vertical="center"/>
      <protection hidden="1"/>
    </xf>
    <xf numFmtId="4" fontId="6" fillId="0" borderId="6" xfId="0" applyNumberFormat="1" applyFont="1" applyBorder="1" applyAlignment="1" applyProtection="1">
      <alignment horizontal="center" vertical="center"/>
      <protection hidden="1"/>
    </xf>
    <xf numFmtId="4" fontId="6" fillId="0" borderId="7" xfId="0" applyNumberFormat="1" applyFont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6" fillId="0" borderId="0" xfId="0" applyFont="1" applyAlignment="1" applyProtection="1">
      <alignment horizontal="left"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4" fontId="6" fillId="0" borderId="4" xfId="0" applyNumberFormat="1" applyFont="1" applyBorder="1" applyAlignment="1" applyProtection="1">
      <alignment horizontal="center" vertical="center"/>
      <protection hidden="1"/>
    </xf>
    <xf numFmtId="4" fontId="6" fillId="0" borderId="5" xfId="0" applyNumberFormat="1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14" xfId="0" applyFont="1" applyBorder="1" applyAlignment="1" applyProtection="1">
      <alignment horizontal="center" vertical="center"/>
      <protection hidden="1"/>
    </xf>
    <xf numFmtId="0" fontId="5" fillId="0" borderId="15" xfId="0" applyFont="1" applyBorder="1" applyAlignment="1" applyProtection="1">
      <alignment horizontal="center" vertical="center" wrapText="1"/>
      <protection hidden="1"/>
    </xf>
    <xf numFmtId="4" fontId="6" fillId="0" borderId="14" xfId="0" applyNumberFormat="1" applyFont="1" applyBorder="1" applyAlignment="1" applyProtection="1">
      <alignment horizontal="center" vertical="center"/>
      <protection hidden="1"/>
    </xf>
    <xf numFmtId="4" fontId="6" fillId="0" borderId="1" xfId="0" applyNumberFormat="1" applyFont="1" applyBorder="1" applyAlignment="1" applyProtection="1">
      <alignment horizontal="center" vertical="center"/>
      <protection hidden="1"/>
    </xf>
    <xf numFmtId="4" fontId="6" fillId="0" borderId="15" xfId="0" applyNumberFormat="1" applyFont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3" fillId="2" borderId="1" xfId="0" applyFont="1" applyFill="1" applyBorder="1" applyAlignment="1">
      <alignment horizontal="left" vertical="center"/>
    </xf>
    <xf numFmtId="0" fontId="0" fillId="2" borderId="0" xfId="0" applyFill="1"/>
    <xf numFmtId="0" fontId="3" fillId="3" borderId="1" xfId="0" applyFont="1" applyFill="1" applyBorder="1" applyAlignment="1">
      <alignment horizontal="left" vertical="center"/>
    </xf>
    <xf numFmtId="164" fontId="3" fillId="0" borderId="1" xfId="1" applyNumberFormat="1" applyFont="1" applyBorder="1" applyAlignment="1">
      <alignment horizontal="right" vertical="center"/>
    </xf>
    <xf numFmtId="3" fontId="18" fillId="0" borderId="21" xfId="0" applyNumberFormat="1" applyFont="1" applyBorder="1" applyAlignment="1" applyProtection="1">
      <alignment horizontal="center" vertical="center"/>
      <protection hidden="1"/>
    </xf>
    <xf numFmtId="3" fontId="18" fillId="0" borderId="23" xfId="0" applyNumberFormat="1" applyFont="1" applyBorder="1" applyAlignment="1" applyProtection="1">
      <alignment horizontal="center" vertical="center"/>
      <protection hidden="1"/>
    </xf>
    <xf numFmtId="3" fontId="18" fillId="0" borderId="22" xfId="0" applyNumberFormat="1" applyFont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left" vertical="center"/>
      <protection hidden="1"/>
    </xf>
    <xf numFmtId="0" fontId="0" fillId="0" borderId="0" xfId="0" applyAlignment="1">
      <alignment horizontal="center" vertical="center"/>
    </xf>
    <xf numFmtId="0" fontId="20" fillId="4" borderId="26" xfId="0" applyFont="1" applyFill="1" applyBorder="1" applyAlignment="1" applyProtection="1">
      <alignment horizontal="center" vertical="center"/>
      <protection hidden="1"/>
    </xf>
    <xf numFmtId="0" fontId="23" fillId="0" borderId="8" xfId="0" applyFont="1" applyBorder="1" applyAlignment="1" applyProtection="1">
      <alignment horizontal="center" vertical="center"/>
      <protection hidden="1"/>
    </xf>
    <xf numFmtId="3" fontId="24" fillId="0" borderId="26" xfId="0" applyNumberFormat="1" applyFont="1" applyBorder="1" applyAlignment="1" applyProtection="1">
      <alignment horizontal="center" vertical="center"/>
      <protection hidden="1"/>
    </xf>
    <xf numFmtId="3" fontId="24" fillId="0" borderId="3" xfId="0" applyNumberFormat="1" applyFont="1" applyBorder="1" applyAlignment="1" applyProtection="1">
      <alignment horizontal="center" vertical="center"/>
      <protection hidden="1"/>
    </xf>
    <xf numFmtId="3" fontId="20" fillId="8" borderId="0" xfId="0" applyNumberFormat="1" applyFont="1" applyFill="1" applyBorder="1" applyAlignment="1" applyProtection="1">
      <alignment horizontal="center" vertical="center"/>
      <protection hidden="1"/>
    </xf>
    <xf numFmtId="0" fontId="23" fillId="0" borderId="9" xfId="0" applyFont="1" applyBorder="1" applyAlignment="1" applyProtection="1">
      <alignment horizontal="center" vertical="center"/>
      <protection hidden="1"/>
    </xf>
    <xf numFmtId="3" fontId="24" fillId="0" borderId="7" xfId="0" applyNumberFormat="1" applyFont="1" applyBorder="1" applyAlignment="1" applyProtection="1">
      <alignment horizontal="center" vertical="center"/>
      <protection hidden="1"/>
    </xf>
    <xf numFmtId="0" fontId="25" fillId="9" borderId="0" xfId="0" applyFont="1" applyFill="1" applyAlignment="1">
      <alignment horizontal="center" vertical="center"/>
    </xf>
    <xf numFmtId="0" fontId="23" fillId="0" borderId="10" xfId="0" applyFont="1" applyBorder="1" applyAlignment="1" applyProtection="1">
      <alignment horizontal="center" vertical="center"/>
      <protection hidden="1"/>
    </xf>
    <xf numFmtId="3" fontId="24" fillId="0" borderId="5" xfId="0" applyNumberFormat="1" applyFont="1" applyBorder="1" applyAlignment="1" applyProtection="1">
      <alignment horizontal="center" vertical="center"/>
      <protection hidden="1"/>
    </xf>
    <xf numFmtId="0" fontId="21" fillId="6" borderId="27" xfId="0" applyFont="1" applyFill="1" applyBorder="1" applyAlignment="1" applyProtection="1">
      <alignment horizontal="center" vertical="center" wrapText="1"/>
      <protection hidden="1"/>
    </xf>
    <xf numFmtId="166" fontId="25" fillId="9" borderId="0" xfId="0" applyNumberFormat="1" applyFont="1" applyFill="1" applyAlignment="1">
      <alignment horizontal="center" vertical="center"/>
    </xf>
    <xf numFmtId="0" fontId="34" fillId="5" borderId="16" xfId="0" applyFont="1" applyFill="1" applyBorder="1" applyAlignment="1">
      <alignment horizontal="center" vertical="center"/>
    </xf>
    <xf numFmtId="2" fontId="35" fillId="5" borderId="18" xfId="0" applyNumberFormat="1" applyFont="1" applyFill="1" applyBorder="1" applyAlignment="1">
      <alignment horizontal="center" vertical="center"/>
    </xf>
    <xf numFmtId="2" fontId="35" fillId="5" borderId="11" xfId="0" applyNumberFormat="1" applyFont="1" applyFill="1" applyBorder="1" applyAlignment="1">
      <alignment horizontal="center" vertical="center"/>
    </xf>
    <xf numFmtId="0" fontId="35" fillId="5" borderId="13" xfId="0" applyFont="1" applyFill="1" applyBorder="1" applyAlignment="1">
      <alignment horizontal="center" vertical="center"/>
    </xf>
    <xf numFmtId="0" fontId="35" fillId="5" borderId="19" xfId="0" applyFont="1" applyFill="1" applyBorder="1" applyAlignment="1">
      <alignment horizontal="center" vertical="center"/>
    </xf>
    <xf numFmtId="0" fontId="37" fillId="5" borderId="16" xfId="0" applyFont="1" applyFill="1" applyBorder="1" applyAlignment="1">
      <alignment horizontal="center" vertical="center"/>
    </xf>
    <xf numFmtId="2" fontId="30" fillId="5" borderId="18" xfId="0" applyNumberFormat="1" applyFont="1" applyFill="1" applyBorder="1" applyAlignment="1">
      <alignment horizontal="center" vertical="center"/>
    </xf>
    <xf numFmtId="0" fontId="37" fillId="5" borderId="28" xfId="0" applyFont="1" applyFill="1" applyBorder="1" applyAlignment="1">
      <alignment horizontal="center" vertical="center"/>
    </xf>
    <xf numFmtId="2" fontId="30" fillId="5" borderId="29" xfId="0" applyNumberFormat="1" applyFont="1" applyFill="1" applyBorder="1" applyAlignment="1">
      <alignment horizontal="center" vertical="center"/>
    </xf>
    <xf numFmtId="0" fontId="37" fillId="5" borderId="19" xfId="0" applyFont="1" applyFill="1" applyBorder="1" applyAlignment="1">
      <alignment horizontal="center" vertical="center"/>
    </xf>
    <xf numFmtId="2" fontId="30" fillId="5" borderId="20" xfId="0" applyNumberFormat="1" applyFont="1" applyFill="1" applyBorder="1" applyAlignment="1">
      <alignment horizontal="center" vertical="center"/>
    </xf>
    <xf numFmtId="9" fontId="35" fillId="5" borderId="20" xfId="2" applyFont="1" applyFill="1" applyBorder="1" applyAlignment="1">
      <alignment horizontal="center" vertical="center"/>
    </xf>
    <xf numFmtId="0" fontId="41" fillId="0" borderId="0" xfId="0" applyFont="1" applyBorder="1" applyAlignment="1">
      <alignment horizontal="center" vertical="center"/>
    </xf>
    <xf numFmtId="165" fontId="41" fillId="0" borderId="0" xfId="0" applyNumberFormat="1" applyFont="1" applyBorder="1" applyAlignment="1">
      <alignment horizontal="center" vertical="center"/>
    </xf>
    <xf numFmtId="2" fontId="41" fillId="0" borderId="0" xfId="0" applyNumberFormat="1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0" fillId="0" borderId="19" xfId="0" applyFont="1" applyBorder="1" applyAlignment="1">
      <alignment horizontal="center" vertical="center"/>
    </xf>
    <xf numFmtId="0" fontId="41" fillId="0" borderId="12" xfId="0" applyFont="1" applyBorder="1" applyAlignment="1">
      <alignment horizontal="center" vertical="center"/>
    </xf>
    <xf numFmtId="165" fontId="41" fillId="0" borderId="12" xfId="0" applyNumberFormat="1" applyFont="1" applyBorder="1" applyAlignment="1">
      <alignment horizontal="center" vertical="center"/>
    </xf>
    <xf numFmtId="9" fontId="35" fillId="5" borderId="11" xfId="2" applyFont="1" applyFill="1" applyBorder="1" applyAlignment="1">
      <alignment horizontal="center" vertical="center"/>
    </xf>
    <xf numFmtId="0" fontId="34" fillId="5" borderId="0" xfId="0" applyFont="1" applyFill="1" applyBorder="1" applyAlignment="1">
      <alignment horizontal="center" vertical="center"/>
    </xf>
    <xf numFmtId="2" fontId="35" fillId="5" borderId="0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42" fillId="0" borderId="3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2" fillId="0" borderId="3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2" fontId="35" fillId="5" borderId="17" xfId="0" applyNumberFormat="1" applyFont="1" applyFill="1" applyBorder="1" applyAlignment="1">
      <alignment horizontal="center" vertical="center"/>
    </xf>
    <xf numFmtId="0" fontId="34" fillId="5" borderId="17" xfId="0" applyFont="1" applyFill="1" applyBorder="1" applyAlignment="1">
      <alignment horizontal="center" vertical="center"/>
    </xf>
    <xf numFmtId="0" fontId="34" fillId="5" borderId="19" xfId="0" applyFont="1" applyFill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34" fillId="5" borderId="13" xfId="0" applyFont="1" applyFill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167" fontId="22" fillId="0" borderId="1" xfId="0" applyNumberFormat="1" applyFont="1" applyBorder="1" applyAlignment="1">
      <alignment horizontal="center" vertical="center"/>
    </xf>
    <xf numFmtId="167" fontId="22" fillId="0" borderId="6" xfId="0" applyNumberFormat="1" applyFont="1" applyBorder="1" applyAlignment="1">
      <alignment horizontal="center" vertical="center"/>
    </xf>
    <xf numFmtId="167" fontId="22" fillId="0" borderId="7" xfId="0" applyNumberFormat="1" applyFont="1" applyBorder="1" applyAlignment="1">
      <alignment horizontal="center" vertical="center"/>
    </xf>
    <xf numFmtId="167" fontId="22" fillId="0" borderId="4" xfId="0" applyNumberFormat="1" applyFont="1" applyBorder="1" applyAlignment="1">
      <alignment horizontal="center" vertical="center"/>
    </xf>
    <xf numFmtId="167" fontId="22" fillId="0" borderId="15" xfId="0" applyNumberFormat="1" applyFont="1" applyBorder="1" applyAlignment="1">
      <alignment horizontal="center" vertical="center"/>
    </xf>
    <xf numFmtId="167" fontId="22" fillId="7" borderId="6" xfId="0" applyNumberFormat="1" applyFont="1" applyFill="1" applyBorder="1" applyAlignment="1">
      <alignment horizontal="center" vertical="center"/>
    </xf>
    <xf numFmtId="167" fontId="22" fillId="7" borderId="1" xfId="0" applyNumberFormat="1" applyFont="1" applyFill="1" applyBorder="1" applyAlignment="1">
      <alignment horizontal="center" vertical="center"/>
    </xf>
    <xf numFmtId="167" fontId="22" fillId="7" borderId="5" xfId="0" applyNumberFormat="1" applyFont="1" applyFill="1" applyBorder="1" applyAlignment="1">
      <alignment horizontal="center" vertical="center"/>
    </xf>
    <xf numFmtId="0" fontId="25" fillId="5" borderId="16" xfId="0" applyFont="1" applyFill="1" applyBorder="1" applyAlignment="1">
      <alignment horizontal="center" vertical="center"/>
    </xf>
    <xf numFmtId="0" fontId="25" fillId="5" borderId="17" xfId="0" applyFont="1" applyFill="1" applyBorder="1" applyAlignment="1">
      <alignment horizontal="center" vertical="center"/>
    </xf>
    <xf numFmtId="0" fontId="25" fillId="5" borderId="24" xfId="0" applyFont="1" applyFill="1" applyBorder="1" applyAlignment="1">
      <alignment horizontal="center" vertical="center"/>
    </xf>
    <xf numFmtId="0" fontId="25" fillId="5" borderId="13" xfId="0" applyFont="1" applyFill="1" applyBorder="1" applyAlignment="1">
      <alignment horizontal="center" vertical="center"/>
    </xf>
    <xf numFmtId="0" fontId="25" fillId="5" borderId="0" xfId="0" applyFont="1" applyFill="1" applyBorder="1" applyAlignment="1">
      <alignment horizontal="center" vertical="center"/>
    </xf>
    <xf numFmtId="0" fontId="40" fillId="0" borderId="12" xfId="0" applyFont="1" applyBorder="1" applyAlignment="1">
      <alignment horizontal="center" vertical="center"/>
    </xf>
    <xf numFmtId="0" fontId="25" fillId="5" borderId="31" xfId="0" applyFont="1" applyFill="1" applyBorder="1" applyAlignment="1">
      <alignment horizontal="center" vertical="center"/>
    </xf>
    <xf numFmtId="165" fontId="38" fillId="0" borderId="31" xfId="0" applyNumberFormat="1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34" fillId="5" borderId="16" xfId="0" applyFont="1" applyFill="1" applyBorder="1" applyAlignment="1">
      <alignment horizontal="center" vertical="center"/>
    </xf>
    <xf numFmtId="0" fontId="43" fillId="0" borderId="0" xfId="0" applyFont="1" applyFill="1" applyBorder="1" applyAlignment="1">
      <alignment horizontal="center" vertical="center"/>
    </xf>
    <xf numFmtId="0" fontId="39" fillId="5" borderId="13" xfId="0" applyFont="1" applyFill="1" applyBorder="1" applyAlignment="1">
      <alignment horizontal="center" vertical="center"/>
    </xf>
    <xf numFmtId="0" fontId="39" fillId="5" borderId="0" xfId="0" applyFont="1" applyFill="1" applyBorder="1" applyAlignment="1">
      <alignment horizontal="center" vertical="center"/>
    </xf>
    <xf numFmtId="0" fontId="39" fillId="5" borderId="11" xfId="0" applyFont="1" applyFill="1" applyBorder="1" applyAlignment="1">
      <alignment horizontal="center" vertical="center"/>
    </xf>
    <xf numFmtId="0" fontId="39" fillId="5" borderId="19" xfId="0" applyFont="1" applyFill="1" applyBorder="1" applyAlignment="1">
      <alignment horizontal="center" vertical="center"/>
    </xf>
    <xf numFmtId="0" fontId="43" fillId="0" borderId="11" xfId="0" applyFont="1" applyFill="1" applyBorder="1" applyAlignment="1">
      <alignment horizontal="center" vertical="center"/>
    </xf>
    <xf numFmtId="0" fontId="43" fillId="0" borderId="12" xfId="0" applyFont="1" applyFill="1" applyBorder="1" applyAlignment="1">
      <alignment horizontal="center" vertical="center"/>
    </xf>
    <xf numFmtId="0" fontId="43" fillId="0" borderId="20" xfId="0" applyFont="1" applyFill="1" applyBorder="1" applyAlignment="1">
      <alignment horizontal="center" vertical="center"/>
    </xf>
    <xf numFmtId="165" fontId="35" fillId="5" borderId="18" xfId="0" applyNumberFormat="1" applyFont="1" applyFill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0" fillId="0" borderId="0" xfId="0" applyFill="1" applyBorder="1" applyAlignment="1"/>
    <xf numFmtId="0" fontId="0" fillId="0" borderId="12" xfId="0" applyFill="1" applyBorder="1" applyAlignment="1"/>
    <xf numFmtId="0" fontId="42" fillId="0" borderId="30" xfId="0" applyFont="1" applyFill="1" applyBorder="1" applyAlignment="1">
      <alignment horizontal="center"/>
    </xf>
    <xf numFmtId="0" fontId="42" fillId="0" borderId="30" xfId="0" applyFont="1" applyFill="1" applyBorder="1" applyAlignment="1">
      <alignment horizontal="centerContinuous"/>
    </xf>
    <xf numFmtId="0" fontId="0" fillId="10" borderId="0" xfId="0" applyFill="1"/>
    <xf numFmtId="0" fontId="0" fillId="10" borderId="0" xfId="0" applyFill="1" applyBorder="1" applyAlignment="1"/>
    <xf numFmtId="0" fontId="0" fillId="10" borderId="12" xfId="0" applyFill="1" applyBorder="1" applyAlignment="1"/>
    <xf numFmtId="0" fontId="42" fillId="10" borderId="30" xfId="0" applyFont="1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42" fillId="10" borderId="30" xfId="0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0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42" fillId="10" borderId="30" xfId="0" applyFont="1" applyFill="1" applyBorder="1" applyAlignment="1">
      <alignment horizontal="left"/>
    </xf>
    <xf numFmtId="0" fontId="42" fillId="10" borderId="30" xfId="0" applyFont="1" applyFill="1" applyBorder="1" applyAlignment="1">
      <alignment horizontal="left" vertical="center"/>
    </xf>
    <xf numFmtId="10" fontId="0" fillId="10" borderId="0" xfId="0" applyNumberFormat="1" applyFill="1" applyBorder="1" applyAlignment="1">
      <alignment horizontal="center" vertical="center"/>
    </xf>
    <xf numFmtId="0" fontId="25" fillId="5" borderId="18" xfId="0" applyFont="1" applyFill="1" applyBorder="1" applyAlignment="1">
      <alignment horizontal="center" vertical="center"/>
    </xf>
    <xf numFmtId="0" fontId="40" fillId="0" borderId="13" xfId="0" applyFont="1" applyBorder="1" applyAlignment="1">
      <alignment horizontal="left" vertical="center"/>
    </xf>
    <xf numFmtId="0" fontId="40" fillId="0" borderId="19" xfId="0" applyFont="1" applyBorder="1" applyAlignment="1">
      <alignment horizontal="left" vertical="center"/>
    </xf>
    <xf numFmtId="166" fontId="41" fillId="0" borderId="0" xfId="0" applyNumberFormat="1" applyFont="1" applyBorder="1" applyAlignment="1">
      <alignment horizontal="center" vertical="center"/>
    </xf>
    <xf numFmtId="166" fontId="41" fillId="0" borderId="12" xfId="0" applyNumberFormat="1" applyFont="1" applyBorder="1" applyAlignment="1">
      <alignment horizontal="center" vertical="center"/>
    </xf>
    <xf numFmtId="2" fontId="22" fillId="0" borderId="11" xfId="0" applyNumberFormat="1" applyFont="1" applyBorder="1" applyAlignment="1">
      <alignment horizontal="center" vertical="center"/>
    </xf>
    <xf numFmtId="166" fontId="40" fillId="0" borderId="0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0" fontId="47" fillId="0" borderId="0" xfId="0" applyFont="1" applyAlignment="1">
      <alignment vertical="center" wrapText="1"/>
    </xf>
    <xf numFmtId="169" fontId="0" fillId="0" borderId="0" xfId="2" applyNumberFormat="1" applyFont="1" applyFill="1" applyBorder="1" applyAlignment="1"/>
    <xf numFmtId="169" fontId="0" fillId="0" borderId="12" xfId="2" applyNumberFormat="1" applyFont="1" applyFill="1" applyBorder="1" applyAlignment="1"/>
    <xf numFmtId="168" fontId="34" fillId="5" borderId="18" xfId="2" applyNumberFormat="1" applyFont="1" applyFill="1" applyBorder="1" applyAlignment="1">
      <alignment horizontal="center" vertical="center"/>
    </xf>
    <xf numFmtId="168" fontId="34" fillId="5" borderId="11" xfId="2" applyNumberFormat="1" applyFont="1" applyFill="1" applyBorder="1" applyAlignment="1">
      <alignment horizontal="center" vertical="center"/>
    </xf>
    <xf numFmtId="168" fontId="34" fillId="5" borderId="20" xfId="2" applyNumberFormat="1" applyFont="1" applyFill="1" applyBorder="1" applyAlignment="1">
      <alignment horizontal="center" vertical="center"/>
    </xf>
    <xf numFmtId="166" fontId="35" fillId="5" borderId="11" xfId="2" applyNumberFormat="1" applyFont="1" applyFill="1" applyBorder="1" applyAlignment="1">
      <alignment horizontal="center" vertical="center"/>
    </xf>
    <xf numFmtId="166" fontId="35" fillId="5" borderId="20" xfId="2" applyNumberFormat="1" applyFont="1" applyFill="1" applyBorder="1" applyAlignment="1">
      <alignment horizontal="center" vertical="center"/>
    </xf>
    <xf numFmtId="4" fontId="24" fillId="0" borderId="26" xfId="0" applyNumberFormat="1" applyFont="1" applyBorder="1" applyAlignment="1" applyProtection="1">
      <alignment horizontal="center" vertical="center"/>
      <protection hidden="1"/>
    </xf>
    <xf numFmtId="170" fontId="24" fillId="0" borderId="26" xfId="0" applyNumberFormat="1" applyFont="1" applyBorder="1" applyAlignment="1" applyProtection="1">
      <alignment horizontal="center" vertical="center"/>
      <protection hidden="1"/>
    </xf>
    <xf numFmtId="0" fontId="50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0" fontId="6" fillId="0" borderId="0" xfId="0" applyFont="1" applyAlignment="1" applyProtection="1">
      <alignment horizontal="left" vertical="center" wrapText="1"/>
      <protection hidden="1"/>
    </xf>
    <xf numFmtId="0" fontId="17" fillId="0" borderId="24" xfId="0" applyFont="1" applyBorder="1" applyAlignment="1" applyProtection="1">
      <alignment horizontal="center" vertical="center" wrapText="1"/>
      <protection hidden="1"/>
    </xf>
    <xf numFmtId="0" fontId="17" fillId="0" borderId="25" xfId="0" applyFont="1" applyBorder="1" applyAlignment="1" applyProtection="1">
      <alignment horizontal="center" vertical="center"/>
      <protection hidden="1"/>
    </xf>
    <xf numFmtId="0" fontId="5" fillId="0" borderId="18" xfId="0" applyFont="1" applyBorder="1" applyAlignment="1" applyProtection="1">
      <alignment horizontal="center" vertical="center"/>
      <protection hidden="1"/>
    </xf>
    <xf numFmtId="0" fontId="5" fillId="0" borderId="20" xfId="0" applyFont="1" applyBorder="1" applyAlignment="1" applyProtection="1">
      <alignment horizontal="center" vertical="center"/>
      <protection hidden="1"/>
    </xf>
    <xf numFmtId="0" fontId="6" fillId="0" borderId="13" xfId="0" applyFont="1" applyBorder="1" applyAlignment="1" applyProtection="1">
      <alignment horizontal="center" vertical="center" wrapText="1"/>
      <protection hidden="1"/>
    </xf>
    <xf numFmtId="0" fontId="6" fillId="0" borderId="0" xfId="0" applyFont="1" applyBorder="1" applyAlignment="1" applyProtection="1">
      <alignment horizontal="center" vertical="center" wrapText="1"/>
      <protection hidden="1"/>
    </xf>
    <xf numFmtId="0" fontId="6" fillId="0" borderId="11" xfId="0" applyFont="1" applyBorder="1" applyAlignment="1" applyProtection="1">
      <alignment horizontal="center" vertical="center" wrapText="1"/>
      <protection hidden="1"/>
    </xf>
    <xf numFmtId="0" fontId="6" fillId="0" borderId="19" xfId="0" applyFont="1" applyBorder="1" applyAlignment="1" applyProtection="1">
      <alignment horizontal="center" vertical="center" wrapText="1"/>
      <protection hidden="1"/>
    </xf>
    <xf numFmtId="0" fontId="6" fillId="0" borderId="12" xfId="0" applyFont="1" applyBorder="1" applyAlignment="1" applyProtection="1">
      <alignment horizontal="center" vertical="center" wrapText="1"/>
      <protection hidden="1"/>
    </xf>
    <xf numFmtId="0" fontId="6" fillId="0" borderId="20" xfId="0" applyFont="1" applyBorder="1" applyAlignment="1" applyProtection="1">
      <alignment horizontal="center" vertical="center" wrapText="1"/>
      <protection hidden="1"/>
    </xf>
    <xf numFmtId="0" fontId="5" fillId="0" borderId="16" xfId="0" applyFont="1" applyBorder="1" applyAlignment="1" applyProtection="1">
      <alignment horizontal="center" vertical="center"/>
      <protection hidden="1"/>
    </xf>
    <xf numFmtId="0" fontId="5" fillId="0" borderId="17" xfId="0" applyFont="1" applyBorder="1" applyAlignment="1" applyProtection="1">
      <alignment horizontal="center" vertical="center"/>
      <protection hidden="1"/>
    </xf>
    <xf numFmtId="0" fontId="8" fillId="0" borderId="17" xfId="0" applyFont="1" applyBorder="1" applyAlignment="1" applyProtection="1">
      <alignment horizontal="center" vertical="center" wrapText="1"/>
      <protection hidden="1"/>
    </xf>
    <xf numFmtId="0" fontId="8" fillId="0" borderId="18" xfId="0" applyFont="1" applyBorder="1" applyAlignment="1" applyProtection="1">
      <alignment horizontal="center" vertical="center" wrapText="1"/>
      <protection hidden="1"/>
    </xf>
    <xf numFmtId="0" fontId="8" fillId="0" borderId="0" xfId="0" applyFont="1" applyBorder="1" applyAlignment="1" applyProtection="1">
      <alignment horizontal="center" vertical="center" wrapText="1"/>
      <protection hidden="1"/>
    </xf>
    <xf numFmtId="0" fontId="8" fillId="0" borderId="11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20" xfId="0" applyFont="1" applyBorder="1" applyAlignment="1" applyProtection="1">
      <alignment horizontal="center" vertical="center" wrapText="1"/>
      <protection hidden="1"/>
    </xf>
    <xf numFmtId="0" fontId="6" fillId="2" borderId="13" xfId="0" applyFont="1" applyFill="1" applyBorder="1" applyAlignment="1" applyProtection="1">
      <alignment horizontal="center" vertical="center"/>
      <protection locked="0" hidden="1"/>
    </xf>
    <xf numFmtId="0" fontId="6" fillId="2" borderId="0" xfId="0" applyFont="1" applyFill="1" applyBorder="1" applyAlignment="1" applyProtection="1">
      <alignment horizontal="center" vertical="center"/>
      <protection locked="0" hidden="1"/>
    </xf>
    <xf numFmtId="0" fontId="6" fillId="2" borderId="19" xfId="0" applyFont="1" applyFill="1" applyBorder="1" applyAlignment="1" applyProtection="1">
      <alignment horizontal="center" vertical="center"/>
      <protection locked="0" hidden="1"/>
    </xf>
    <xf numFmtId="0" fontId="6" fillId="2" borderId="12" xfId="0" applyFont="1" applyFill="1" applyBorder="1" applyAlignment="1" applyProtection="1">
      <alignment horizontal="center" vertical="center"/>
      <protection locked="0" hidden="1"/>
    </xf>
    <xf numFmtId="0" fontId="49" fillId="9" borderId="0" xfId="0" applyFont="1" applyFill="1" applyAlignment="1">
      <alignment horizontal="center" vertical="center"/>
    </xf>
    <xf numFmtId="0" fontId="47" fillId="0" borderId="0" xfId="0" applyFont="1" applyAlignment="1">
      <alignment horizontal="left" vertical="center" wrapText="1"/>
    </xf>
    <xf numFmtId="0" fontId="25" fillId="11" borderId="28" xfId="0" applyFont="1" applyFill="1" applyBorder="1" applyAlignment="1">
      <alignment horizontal="center" vertical="center"/>
    </xf>
    <xf numFmtId="0" fontId="25" fillId="11" borderId="32" xfId="0" applyFont="1" applyFill="1" applyBorder="1" applyAlignment="1">
      <alignment horizontal="center" vertical="center"/>
    </xf>
    <xf numFmtId="0" fontId="25" fillId="11" borderId="29" xfId="0" applyFont="1" applyFill="1" applyBorder="1" applyAlignment="1">
      <alignment horizontal="center" vertical="center"/>
    </xf>
    <xf numFmtId="0" fontId="46" fillId="0" borderId="24" xfId="0" applyFont="1" applyBorder="1" applyAlignment="1" applyProtection="1">
      <alignment horizontal="center" vertical="center" wrapText="1"/>
      <protection hidden="1"/>
    </xf>
    <xf numFmtId="0" fontId="46" fillId="0" borderId="25" xfId="0" applyFont="1" applyBorder="1" applyAlignment="1" applyProtection="1">
      <alignment horizontal="center" vertical="center" wrapText="1"/>
      <protection hidden="1"/>
    </xf>
    <xf numFmtId="0" fontId="25" fillId="5" borderId="16" xfId="0" applyFont="1" applyFill="1" applyBorder="1" applyAlignment="1">
      <alignment horizontal="center" vertical="center"/>
    </xf>
    <xf numFmtId="0" fontId="25" fillId="5" borderId="17" xfId="0" applyFont="1" applyFill="1" applyBorder="1" applyAlignment="1">
      <alignment horizontal="center" vertical="center"/>
    </xf>
    <xf numFmtId="0" fontId="34" fillId="5" borderId="16" xfId="0" applyFont="1" applyFill="1" applyBorder="1" applyAlignment="1">
      <alignment horizontal="center" vertical="center"/>
    </xf>
    <xf numFmtId="0" fontId="34" fillId="5" borderId="13" xfId="0" applyFont="1" applyFill="1" applyBorder="1" applyAlignment="1">
      <alignment horizontal="center" vertical="center"/>
    </xf>
    <xf numFmtId="0" fontId="25" fillId="9" borderId="16" xfId="0" applyFont="1" applyFill="1" applyBorder="1" applyAlignment="1">
      <alignment horizontal="center" vertical="center"/>
    </xf>
    <xf numFmtId="0" fontId="25" fillId="9" borderId="17" xfId="0" applyFont="1" applyFill="1" applyBorder="1" applyAlignment="1">
      <alignment horizontal="center" vertical="center"/>
    </xf>
    <xf numFmtId="0" fontId="25" fillId="9" borderId="18" xfId="0" applyFont="1" applyFill="1" applyBorder="1" applyAlignment="1">
      <alignment horizontal="center" vertical="center"/>
    </xf>
    <xf numFmtId="0" fontId="48" fillId="0" borderId="17" xfId="0" applyFont="1" applyBorder="1" applyAlignment="1">
      <alignment horizontal="left" vertical="center" wrapText="1"/>
    </xf>
    <xf numFmtId="0" fontId="48" fillId="0" borderId="0" xfId="0" applyFont="1" applyAlignment="1">
      <alignment horizontal="left" vertical="center" wrapText="1"/>
    </xf>
    <xf numFmtId="0" fontId="39" fillId="5" borderId="16" xfId="0" applyFont="1" applyFill="1" applyBorder="1" applyAlignment="1">
      <alignment horizontal="center" vertical="center"/>
    </xf>
    <xf numFmtId="0" fontId="39" fillId="5" borderId="17" xfId="0" applyFont="1" applyFill="1" applyBorder="1" applyAlignment="1">
      <alignment horizontal="center" vertical="center"/>
    </xf>
    <xf numFmtId="0" fontId="39" fillId="5" borderId="18" xfId="0" applyFont="1" applyFill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3333CC"/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131618</xdr:colOff>
      <xdr:row>17</xdr:row>
      <xdr:rowOff>1731</xdr:rowOff>
    </xdr:from>
    <xdr:to>
      <xdr:col>13</xdr:col>
      <xdr:colOff>461699</xdr:colOff>
      <xdr:row>18</xdr:row>
      <xdr:rowOff>0</xdr:rowOff>
    </xdr:to>
    <xdr:pic>
      <xdr:nvPicPr>
        <xdr:cNvPr id="4" name="Imagem 3" descr="seta | Cristais Aquariu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9868" y="3785754"/>
          <a:ext cx="330081" cy="206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138545</xdr:colOff>
      <xdr:row>16</xdr:row>
      <xdr:rowOff>0</xdr:rowOff>
    </xdr:from>
    <xdr:to>
      <xdr:col>13</xdr:col>
      <xdr:colOff>468626</xdr:colOff>
      <xdr:row>16</xdr:row>
      <xdr:rowOff>206087</xdr:rowOff>
    </xdr:to>
    <xdr:pic>
      <xdr:nvPicPr>
        <xdr:cNvPr id="5" name="Imagem 4" descr="seta | Cristais Aquariu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6795" y="3576205"/>
          <a:ext cx="330081" cy="206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135082</xdr:colOff>
      <xdr:row>14</xdr:row>
      <xdr:rowOff>204355</xdr:rowOff>
    </xdr:from>
    <xdr:to>
      <xdr:col>13</xdr:col>
      <xdr:colOff>465163</xdr:colOff>
      <xdr:row>15</xdr:row>
      <xdr:rowOff>202624</xdr:rowOff>
    </xdr:to>
    <xdr:pic>
      <xdr:nvPicPr>
        <xdr:cNvPr id="6" name="Imagem 5" descr="seta | Cristais Aquariu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3332" y="3364923"/>
          <a:ext cx="330081" cy="206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126999</xdr:colOff>
      <xdr:row>23</xdr:row>
      <xdr:rowOff>198438</xdr:rowOff>
    </xdr:from>
    <xdr:to>
      <xdr:col>20</xdr:col>
      <xdr:colOff>457080</xdr:colOff>
      <xdr:row>24</xdr:row>
      <xdr:rowOff>196707</xdr:rowOff>
    </xdr:to>
    <xdr:pic>
      <xdr:nvPicPr>
        <xdr:cNvPr id="10" name="Imagem 9" descr="seta | Cristais Aquariu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20937" y="5199063"/>
          <a:ext cx="330081" cy="204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127086</xdr:colOff>
      <xdr:row>26</xdr:row>
      <xdr:rowOff>139116</xdr:rowOff>
    </xdr:from>
    <xdr:to>
      <xdr:col>13</xdr:col>
      <xdr:colOff>599225</xdr:colOff>
      <xdr:row>28</xdr:row>
      <xdr:rowOff>17639</xdr:rowOff>
    </xdr:to>
    <xdr:pic>
      <xdr:nvPicPr>
        <xdr:cNvPr id="11" name="Imagem 10" descr="seta | Cristais Aquariu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988490">
          <a:off x="13721859" y="6122548"/>
          <a:ext cx="472139" cy="294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119062</xdr:colOff>
      <xdr:row>40</xdr:row>
      <xdr:rowOff>0</xdr:rowOff>
    </xdr:from>
    <xdr:to>
      <xdr:col>16</xdr:col>
      <xdr:colOff>449143</xdr:colOff>
      <xdr:row>40</xdr:row>
      <xdr:rowOff>204644</xdr:rowOff>
    </xdr:to>
    <xdr:pic>
      <xdr:nvPicPr>
        <xdr:cNvPr id="12" name="Imagem 11" descr="seta | Cristais Aquariu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0" y="8509000"/>
          <a:ext cx="330081" cy="204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129886</xdr:colOff>
      <xdr:row>74</xdr:row>
      <xdr:rowOff>0</xdr:rowOff>
    </xdr:from>
    <xdr:to>
      <xdr:col>17</xdr:col>
      <xdr:colOff>459967</xdr:colOff>
      <xdr:row>75</xdr:row>
      <xdr:rowOff>14144</xdr:rowOff>
    </xdr:to>
    <xdr:pic>
      <xdr:nvPicPr>
        <xdr:cNvPr id="9" name="Imagem 8" descr="seta | Cristais Aquariu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2363" y="15534409"/>
          <a:ext cx="330081" cy="204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181841</xdr:colOff>
      <xdr:row>109</xdr:row>
      <xdr:rowOff>5194</xdr:rowOff>
    </xdr:from>
    <xdr:to>
      <xdr:col>10</xdr:col>
      <xdr:colOff>511922</xdr:colOff>
      <xdr:row>110</xdr:row>
      <xdr:rowOff>3463</xdr:rowOff>
    </xdr:to>
    <xdr:pic>
      <xdr:nvPicPr>
        <xdr:cNvPr id="13" name="Imagem 12" descr="seta | Cristais Aquariu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6659" y="23575239"/>
          <a:ext cx="330081" cy="206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188768</xdr:colOff>
      <xdr:row>108</xdr:row>
      <xdr:rowOff>3463</xdr:rowOff>
    </xdr:from>
    <xdr:to>
      <xdr:col>10</xdr:col>
      <xdr:colOff>518849</xdr:colOff>
      <xdr:row>109</xdr:row>
      <xdr:rowOff>1732</xdr:rowOff>
    </xdr:to>
    <xdr:pic>
      <xdr:nvPicPr>
        <xdr:cNvPr id="14" name="Imagem 13" descr="seta | Cristais Aquariu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83586" y="23365690"/>
          <a:ext cx="330081" cy="206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185305</xdr:colOff>
      <xdr:row>107</xdr:row>
      <xdr:rowOff>0</xdr:rowOff>
    </xdr:from>
    <xdr:to>
      <xdr:col>10</xdr:col>
      <xdr:colOff>515386</xdr:colOff>
      <xdr:row>107</xdr:row>
      <xdr:rowOff>206087</xdr:rowOff>
    </xdr:to>
    <xdr:pic>
      <xdr:nvPicPr>
        <xdr:cNvPr id="15" name="Imagem 14" descr="seta | Cristais Aquariu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80123" y="23154409"/>
          <a:ext cx="330081" cy="206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181841</xdr:colOff>
      <xdr:row>110</xdr:row>
      <xdr:rowOff>17319</xdr:rowOff>
    </xdr:from>
    <xdr:to>
      <xdr:col>10</xdr:col>
      <xdr:colOff>511922</xdr:colOff>
      <xdr:row>111</xdr:row>
      <xdr:rowOff>15588</xdr:rowOff>
    </xdr:to>
    <xdr:pic>
      <xdr:nvPicPr>
        <xdr:cNvPr id="16" name="Imagem 15" descr="seta | Cristais Aquariu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6659" y="23795183"/>
          <a:ext cx="330081" cy="206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G65"/>
  <sheetViews>
    <sheetView workbookViewId="0">
      <selection activeCell="J2" sqref="J2:K4"/>
    </sheetView>
  </sheetViews>
  <sheetFormatPr defaultRowHeight="15" x14ac:dyDescent="0.25"/>
  <cols>
    <col min="1" max="1" width="28.85546875" style="5" bestFit="1" customWidth="1"/>
    <col min="2" max="7" width="33.42578125" style="7" customWidth="1"/>
  </cols>
  <sheetData>
    <row r="1" spans="1:7" x14ac:dyDescent="0.25">
      <c r="A1" s="3" t="s">
        <v>69</v>
      </c>
      <c r="B1" s="1" t="s">
        <v>65</v>
      </c>
      <c r="C1" s="1" t="s">
        <v>64</v>
      </c>
      <c r="D1" s="1" t="s">
        <v>66</v>
      </c>
      <c r="E1" s="1" t="s">
        <v>67</v>
      </c>
      <c r="F1" s="1" t="s">
        <v>68</v>
      </c>
      <c r="G1" s="1" t="s">
        <v>83</v>
      </c>
    </row>
    <row r="2" spans="1:7" x14ac:dyDescent="0.25">
      <c r="A2" s="3" t="s">
        <v>0</v>
      </c>
      <c r="B2" s="6">
        <v>0.61744999885559104</v>
      </c>
      <c r="C2" s="6">
        <v>9.4515783314663508</v>
      </c>
      <c r="D2" s="6">
        <v>7293.6581885569003</v>
      </c>
      <c r="E2" s="6">
        <v>38.566711779316776</v>
      </c>
      <c r="F2" s="6">
        <v>15.570460000000001</v>
      </c>
      <c r="G2" s="37">
        <v>45195774</v>
      </c>
    </row>
    <row r="3" spans="1:7" x14ac:dyDescent="0.25">
      <c r="A3" s="3" t="s">
        <v>1</v>
      </c>
      <c r="B3" s="6">
        <v>0.241390004754066</v>
      </c>
      <c r="C3" s="6">
        <v>2.1999999991457031</v>
      </c>
      <c r="D3" s="6">
        <v>1997.0522610194116</v>
      </c>
      <c r="E3" s="6">
        <v>29.758868775312614</v>
      </c>
      <c r="F3" s="6">
        <v>12.400510000000001</v>
      </c>
      <c r="G3" s="37">
        <v>2963243</v>
      </c>
    </row>
    <row r="4" spans="1:7" x14ac:dyDescent="0.25">
      <c r="A4" s="3" t="s">
        <v>2</v>
      </c>
      <c r="B4" s="6">
        <v>2.3856201171875</v>
      </c>
      <c r="C4" s="6">
        <v>1.9623661011905114</v>
      </c>
      <c r="D4" s="6">
        <v>36175.112506598285</v>
      </c>
      <c r="E4" s="6">
        <v>28.01903301305062</v>
      </c>
      <c r="F4" s="6">
        <v>14.3276</v>
      </c>
      <c r="G4" s="37">
        <v>25499884</v>
      </c>
    </row>
    <row r="5" spans="1:7" x14ac:dyDescent="0.25">
      <c r="A5" s="3" t="s">
        <v>3</v>
      </c>
      <c r="B5" s="6">
        <v>2.7984600067138699</v>
      </c>
      <c r="C5" s="6">
        <v>1.8801176594148217</v>
      </c>
      <c r="D5" s="6">
        <v>40099.966160417134</v>
      </c>
      <c r="E5" s="6">
        <v>21.881817622344979</v>
      </c>
      <c r="F5" s="6">
        <v>10.858169999999999</v>
      </c>
      <c r="G5" s="37">
        <v>9006398</v>
      </c>
    </row>
    <row r="6" spans="1:7" x14ac:dyDescent="0.25">
      <c r="A6" s="3" t="s">
        <v>4</v>
      </c>
      <c r="B6" s="6">
        <v>0.21848000586032901</v>
      </c>
      <c r="C6" s="6">
        <v>4.8543393238395822</v>
      </c>
      <c r="D6" s="6">
        <v>3126.7240403803503</v>
      </c>
      <c r="E6" s="6">
        <v>31.791289790537842</v>
      </c>
      <c r="F6" s="6">
        <v>8.7791099999999993</v>
      </c>
      <c r="G6" s="37">
        <v>10139177</v>
      </c>
    </row>
    <row r="7" spans="1:7" x14ac:dyDescent="0.25">
      <c r="A7" s="3" t="s">
        <v>5</v>
      </c>
      <c r="B7" s="6">
        <v>0.69349998235702504</v>
      </c>
      <c r="C7" s="6">
        <v>7.7407812155639846</v>
      </c>
      <c r="D7" s="6">
        <v>4524.1581679110777</v>
      </c>
      <c r="E7" s="6">
        <v>20.852178591786398</v>
      </c>
      <c r="F7" s="6">
        <v>12.86463</v>
      </c>
      <c r="G7" s="37">
        <v>9449323</v>
      </c>
    </row>
    <row r="8" spans="1:7" x14ac:dyDescent="0.25">
      <c r="A8" s="3" t="s">
        <v>6</v>
      </c>
      <c r="B8" s="6">
        <v>2.10477995872498</v>
      </c>
      <c r="C8" s="6">
        <v>2.5010545665515025</v>
      </c>
      <c r="D8" s="6">
        <v>37745.501703613969</v>
      </c>
      <c r="E8" s="6">
        <v>25.395925900409388</v>
      </c>
      <c r="F8" s="6">
        <v>12.223739999999999</v>
      </c>
      <c r="G8" s="37">
        <v>11589623</v>
      </c>
    </row>
    <row r="9" spans="1:7" x14ac:dyDescent="0.25">
      <c r="A9" s="3" t="s">
        <v>7</v>
      </c>
      <c r="B9" s="6">
        <v>1.1604199409484901</v>
      </c>
      <c r="C9" s="6">
        <v>7.5720671552290071</v>
      </c>
      <c r="D9" s="6">
        <v>5678.2860346340567</v>
      </c>
      <c r="E9" s="6">
        <v>37.709678185702835</v>
      </c>
      <c r="F9" s="6">
        <v>14.559889999999999</v>
      </c>
      <c r="G9" s="37">
        <v>212559417</v>
      </c>
    </row>
    <row r="10" spans="1:7" x14ac:dyDescent="0.25">
      <c r="A10" s="3" t="s">
        <v>8</v>
      </c>
      <c r="B10" s="6">
        <v>0.59794002771377597</v>
      </c>
      <c r="C10" s="6">
        <v>0.65532511235480229</v>
      </c>
      <c r="D10" s="6">
        <v>4559.6954470031878</v>
      </c>
      <c r="E10" s="6">
        <v>19.485786470116324</v>
      </c>
      <c r="F10" s="6">
        <v>11.16342</v>
      </c>
      <c r="G10" s="37">
        <v>6948445</v>
      </c>
    </row>
    <row r="11" spans="1:7" x14ac:dyDescent="0.25">
      <c r="A11" s="3" t="s">
        <v>9</v>
      </c>
      <c r="B11" s="6">
        <v>0.13754999637603799</v>
      </c>
      <c r="C11" s="6">
        <v>3.7859025431217219</v>
      </c>
      <c r="D11" s="6">
        <v>150.74274826347758</v>
      </c>
      <c r="E11" s="6">
        <v>82.053945056425576</v>
      </c>
      <c r="F11" s="6">
        <v>16.588100000000001</v>
      </c>
      <c r="G11" s="37">
        <v>11890784</v>
      </c>
    </row>
    <row r="12" spans="1:7" x14ac:dyDescent="0.25">
      <c r="A12" s="3" t="s">
        <v>10</v>
      </c>
      <c r="B12" s="6">
        <v>1.8600800037384</v>
      </c>
      <c r="C12" s="6">
        <v>3.3742485547244172</v>
      </c>
      <c r="D12" s="6">
        <v>36465.710863547902</v>
      </c>
      <c r="E12" s="6">
        <v>23.74405539363396</v>
      </c>
      <c r="F12" s="6">
        <v>12.387890000000001</v>
      </c>
      <c r="G12" s="37">
        <v>37742154</v>
      </c>
    </row>
    <row r="13" spans="1:7" x14ac:dyDescent="0.25">
      <c r="A13" s="3" t="s">
        <v>11</v>
      </c>
      <c r="B13" s="6">
        <v>0.41721999645233199</v>
      </c>
      <c r="C13" s="6">
        <v>5.753708903146304</v>
      </c>
      <c r="D13" s="6">
        <v>8609.2679088412897</v>
      </c>
      <c r="E13" s="6">
        <v>32.237807714903774</v>
      </c>
      <c r="F13" s="6">
        <v>17.514019999999999</v>
      </c>
      <c r="G13" s="37">
        <v>19116201</v>
      </c>
    </row>
    <row r="14" spans="1:7" x14ac:dyDescent="0.25">
      <c r="A14" s="3" t="s">
        <v>12</v>
      </c>
      <c r="B14" s="6">
        <v>0.1805399954319</v>
      </c>
      <c r="C14" s="6">
        <v>3.9718007047375039</v>
      </c>
      <c r="D14" s="6">
        <v>3939.1069947754286</v>
      </c>
      <c r="E14" s="6">
        <v>43.82746238643881</v>
      </c>
      <c r="F14" s="6">
        <v>16.418579999999999</v>
      </c>
      <c r="G14" s="37">
        <v>50882891</v>
      </c>
    </row>
    <row r="15" spans="1:7" x14ac:dyDescent="0.25">
      <c r="A15" s="3" t="s">
        <v>13</v>
      </c>
      <c r="B15" s="6">
        <v>0.75442999601364102</v>
      </c>
      <c r="C15" s="6">
        <v>-1.7011368880312006</v>
      </c>
      <c r="D15" s="6">
        <v>10523.915406034161</v>
      </c>
      <c r="E15" s="6">
        <v>22.775894382471584</v>
      </c>
      <c r="F15" s="6">
        <v>9.0825899999999997</v>
      </c>
      <c r="G15" s="37">
        <v>4105267</v>
      </c>
    </row>
    <row r="16" spans="1:7" x14ac:dyDescent="0.25">
      <c r="A16" s="3" t="s">
        <v>14</v>
      </c>
      <c r="B16" s="6">
        <v>0.49355000257492099</v>
      </c>
      <c r="C16" s="6">
        <v>1.3906440575121479</v>
      </c>
      <c r="D16" s="6">
        <v>24852.373674759499</v>
      </c>
      <c r="E16" s="6">
        <v>25.145562973857004</v>
      </c>
      <c r="F16" s="6">
        <v>15.68234</v>
      </c>
      <c r="G16" s="37">
        <v>1207359</v>
      </c>
    </row>
    <row r="17" spans="1:7" x14ac:dyDescent="0.25">
      <c r="A17" s="3" t="s">
        <v>15</v>
      </c>
      <c r="B17" s="6">
        <v>1.39740002155304</v>
      </c>
      <c r="C17" s="6">
        <v>2.2950891154049202</v>
      </c>
      <c r="D17" s="6">
        <v>14640.343169543186</v>
      </c>
      <c r="E17" s="6">
        <v>20.151363637780804</v>
      </c>
      <c r="F17" s="6">
        <v>9.7125000000000004</v>
      </c>
      <c r="G17" s="37">
        <v>10708981</v>
      </c>
    </row>
    <row r="18" spans="1:7" x14ac:dyDescent="0.25">
      <c r="A18" s="3" t="s">
        <v>16</v>
      </c>
      <c r="B18" s="6">
        <v>3.0013799667358398</v>
      </c>
      <c r="C18" s="6">
        <v>1.6251358849883815</v>
      </c>
      <c r="D18" s="6">
        <v>47791.919518481714</v>
      </c>
      <c r="E18" s="6">
        <v>27.475772833313616</v>
      </c>
      <c r="F18" s="6">
        <v>15.103339999999999</v>
      </c>
      <c r="G18" s="37">
        <v>5792202</v>
      </c>
    </row>
    <row r="19" spans="1:7" x14ac:dyDescent="0.25">
      <c r="A19" s="3" t="s">
        <v>17</v>
      </c>
      <c r="B19" s="6">
        <v>6.7230001091957106E-2</v>
      </c>
      <c r="C19" s="6">
        <v>1.3647836672697764</v>
      </c>
      <c r="D19" s="6">
        <v>2949.6137287227111</v>
      </c>
      <c r="E19" s="6">
        <v>52.564166062486308</v>
      </c>
      <c r="F19" s="6">
        <v>16.16422</v>
      </c>
      <c r="G19" s="37">
        <v>6486205</v>
      </c>
    </row>
    <row r="20" spans="1:7" x14ac:dyDescent="0.25">
      <c r="A20" s="3" t="s">
        <v>18</v>
      </c>
      <c r="B20" s="6">
        <v>1.61963999271393</v>
      </c>
      <c r="C20" s="6">
        <v>2.4758738514106398</v>
      </c>
      <c r="D20" s="6">
        <v>10364.464126272213</v>
      </c>
      <c r="E20" s="6">
        <v>22.944788159347944</v>
      </c>
      <c r="F20" s="6">
        <v>13.681800000000001</v>
      </c>
      <c r="G20" s="37">
        <v>1326535</v>
      </c>
    </row>
    <row r="21" spans="1:7" x14ac:dyDescent="0.25">
      <c r="A21" s="3" t="s">
        <v>19</v>
      </c>
      <c r="B21" s="6">
        <v>0.24566000699996901</v>
      </c>
      <c r="C21" s="6">
        <v>12.550538328899833</v>
      </c>
      <c r="D21" s="6">
        <v>238.63182187645808</v>
      </c>
      <c r="E21" s="6">
        <v>85.004237027036027</v>
      </c>
      <c r="F21" s="6">
        <v>22.035820000000001</v>
      </c>
      <c r="G21" s="37">
        <v>114963588</v>
      </c>
    </row>
    <row r="22" spans="1:7" x14ac:dyDescent="0.25">
      <c r="A22" s="3" t="s">
        <v>20</v>
      </c>
      <c r="B22" s="6">
        <v>3.9005999565124498</v>
      </c>
      <c r="C22" s="6">
        <v>2.9923553361053337</v>
      </c>
      <c r="D22" s="6">
        <v>39698.80530542905</v>
      </c>
      <c r="E22" s="6">
        <v>24.874028911397382</v>
      </c>
      <c r="F22" s="6">
        <v>11.956110000000001</v>
      </c>
      <c r="G22" s="37">
        <v>5540720</v>
      </c>
    </row>
    <row r="23" spans="1:7" x14ac:dyDescent="0.25">
      <c r="A23" s="3" t="s">
        <v>21</v>
      </c>
      <c r="B23" s="6">
        <v>2.2444601058960001</v>
      </c>
      <c r="C23" s="6">
        <v>1.9656578188557319</v>
      </c>
      <c r="D23" s="6">
        <v>35216.499562716868</v>
      </c>
      <c r="E23" s="6">
        <v>28.303837482940651</v>
      </c>
      <c r="F23" s="6">
        <v>10.069129999999999</v>
      </c>
      <c r="G23" s="37">
        <v>65273511</v>
      </c>
    </row>
    <row r="24" spans="1:7" x14ac:dyDescent="0.25">
      <c r="A24" s="3" t="s">
        <v>22</v>
      </c>
      <c r="B24" s="6">
        <v>2.8035199642181401</v>
      </c>
      <c r="C24" s="6">
        <v>4.0907695122806729</v>
      </c>
      <c r="D24" s="6">
        <v>37147.022169488737</v>
      </c>
      <c r="E24" s="6">
        <v>20.386593257709869</v>
      </c>
      <c r="F24" s="6">
        <v>10.616580000000001</v>
      </c>
      <c r="G24" s="37">
        <v>83783942</v>
      </c>
    </row>
    <row r="25" spans="1:7" x14ac:dyDescent="0.25">
      <c r="A25" s="3" t="s">
        <v>23</v>
      </c>
      <c r="B25" s="6">
        <v>0.37654998898506198</v>
      </c>
      <c r="C25" s="6">
        <v>7.8997402926816847</v>
      </c>
      <c r="D25" s="6">
        <v>606.38421894599378</v>
      </c>
      <c r="E25" s="6">
        <v>67.750719621685832</v>
      </c>
      <c r="F25" s="6">
        <v>21.244219999999999</v>
      </c>
      <c r="G25" s="37">
        <v>31072940</v>
      </c>
    </row>
    <row r="26" spans="1:7" x14ac:dyDescent="0.25">
      <c r="A26" s="3" t="s">
        <v>24</v>
      </c>
      <c r="B26" s="6">
        <v>4.3499998748302501E-2</v>
      </c>
      <c r="C26" s="6">
        <v>2.8693723892527601</v>
      </c>
      <c r="D26" s="6">
        <v>2270.0982681651722</v>
      </c>
      <c r="E26" s="6">
        <v>76.807399855746468</v>
      </c>
      <c r="F26" s="6">
        <v>19.29692</v>
      </c>
      <c r="G26" s="37">
        <v>17915568</v>
      </c>
    </row>
    <row r="27" spans="1:7" x14ac:dyDescent="0.25">
      <c r="A27" s="3" t="s">
        <v>25</v>
      </c>
      <c r="B27" s="6">
        <v>0.74927002191543601</v>
      </c>
      <c r="C27" s="6">
        <v>6.7676105587932938</v>
      </c>
      <c r="D27" s="6">
        <v>31328.375193366537</v>
      </c>
      <c r="E27" s="6">
        <v>16.200772379695994</v>
      </c>
      <c r="F27" s="6">
        <v>19.909549999999999</v>
      </c>
      <c r="G27" s="37">
        <v>7496981</v>
      </c>
    </row>
    <row r="28" spans="1:7" x14ac:dyDescent="0.25">
      <c r="A28" s="3" t="s">
        <v>26</v>
      </c>
      <c r="B28" s="6">
        <v>1.1700299978256199</v>
      </c>
      <c r="C28" s="6">
        <v>0.7891168795250536</v>
      </c>
      <c r="D28" s="6">
        <v>11108.89983126476</v>
      </c>
      <c r="E28" s="6">
        <v>21.336266525980655</v>
      </c>
      <c r="F28" s="6">
        <v>9.6849799999999995</v>
      </c>
      <c r="G28" s="37">
        <v>9660351</v>
      </c>
    </row>
    <row r="29" spans="1:7" x14ac:dyDescent="0.25">
      <c r="A29" s="3" t="s">
        <v>27</v>
      </c>
      <c r="B29" s="6">
        <v>0.79717999696731601</v>
      </c>
      <c r="C29" s="6">
        <v>10.259962989017396</v>
      </c>
      <c r="D29" s="6">
        <v>1031.5611346494393</v>
      </c>
      <c r="E29" s="6">
        <v>46.591041531705308</v>
      </c>
      <c r="F29" s="6">
        <v>11.74278</v>
      </c>
      <c r="G29" s="37">
        <v>1380004385</v>
      </c>
    </row>
    <row r="30" spans="1:7" x14ac:dyDescent="0.25">
      <c r="A30" s="3" t="s">
        <v>28</v>
      </c>
      <c r="B30" s="6">
        <v>1.6885299682617201</v>
      </c>
      <c r="C30" s="6">
        <v>-0.27550500952816037</v>
      </c>
      <c r="D30" s="6">
        <v>46425.614155186842</v>
      </c>
      <c r="E30" s="6">
        <v>31.700321689171012</v>
      </c>
      <c r="F30" s="6">
        <v>9.2955100000000002</v>
      </c>
      <c r="G30" s="37">
        <v>4937786</v>
      </c>
    </row>
    <row r="31" spans="1:7" x14ac:dyDescent="0.25">
      <c r="A31" s="3" t="s">
        <v>29</v>
      </c>
      <c r="B31" s="6">
        <v>3.9650099277496298</v>
      </c>
      <c r="C31" s="6">
        <v>5.7505321840403809</v>
      </c>
      <c r="D31" s="6">
        <v>23225.415578371503</v>
      </c>
      <c r="E31" s="6">
        <v>43.702014433578533</v>
      </c>
      <c r="F31" s="6">
        <v>13.259320000000001</v>
      </c>
      <c r="G31" s="37">
        <v>8655535</v>
      </c>
    </row>
    <row r="32" spans="1:7" x14ac:dyDescent="0.25">
      <c r="A32" s="3" t="s">
        <v>30</v>
      </c>
      <c r="B32" s="6">
        <v>1.2645800113678001</v>
      </c>
      <c r="C32" s="6">
        <v>1.7105824180637654</v>
      </c>
      <c r="D32" s="6">
        <v>30788.538604195335</v>
      </c>
      <c r="E32" s="6">
        <v>21.380458591778407</v>
      </c>
      <c r="F32" s="6">
        <v>8.7239500000000003</v>
      </c>
      <c r="G32" s="37">
        <v>60461826</v>
      </c>
    </row>
    <row r="33" spans="1:7" x14ac:dyDescent="0.25">
      <c r="A33" s="3" t="s">
        <v>31</v>
      </c>
      <c r="B33" s="6">
        <v>3.2539401054382302</v>
      </c>
      <c r="C33" s="6">
        <v>4.6520301434902223</v>
      </c>
      <c r="D33" s="6">
        <v>36296.315398505394</v>
      </c>
      <c r="E33" s="6">
        <v>20.841026924106647</v>
      </c>
      <c r="F33" s="6">
        <v>9.4575800000000001</v>
      </c>
      <c r="G33" s="37">
        <v>126476461</v>
      </c>
    </row>
    <row r="34" spans="1:7" x14ac:dyDescent="0.25">
      <c r="A34" s="3" t="s">
        <v>32</v>
      </c>
      <c r="B34" s="6">
        <v>0.97617000341415405</v>
      </c>
      <c r="C34" s="6">
        <v>8.4022770637024706</v>
      </c>
      <c r="D34" s="6">
        <v>584.9117306765213</v>
      </c>
      <c r="E34" s="6">
        <v>77.647765878876569</v>
      </c>
      <c r="F34" s="6">
        <v>20.555990000000001</v>
      </c>
      <c r="G34" s="37">
        <v>53771296</v>
      </c>
    </row>
    <row r="35" spans="1:7" x14ac:dyDescent="0.25">
      <c r="A35" s="3" t="s">
        <v>33</v>
      </c>
      <c r="B35" s="6">
        <v>0.15546999871730799</v>
      </c>
      <c r="C35" s="6">
        <v>-0.47156684750859768</v>
      </c>
      <c r="D35" s="6">
        <v>560.99913794067618</v>
      </c>
      <c r="E35" s="6">
        <v>45.855310265538492</v>
      </c>
      <c r="F35" s="6">
        <v>15.684760000000001</v>
      </c>
      <c r="G35" s="37">
        <v>6524195</v>
      </c>
    </row>
    <row r="36" spans="1:7" x14ac:dyDescent="0.25">
      <c r="A36" s="3" t="s">
        <v>34</v>
      </c>
      <c r="B36" s="6">
        <v>0.60458999872207597</v>
      </c>
      <c r="C36" s="6">
        <v>-2.8736096958718207</v>
      </c>
      <c r="D36" s="6">
        <v>8058.7935491835151</v>
      </c>
      <c r="E36" s="6">
        <v>20.978530825946716</v>
      </c>
      <c r="F36" s="6">
        <v>8.1226400000000005</v>
      </c>
      <c r="G36" s="37">
        <v>1886198</v>
      </c>
    </row>
    <row r="37" spans="1:7" x14ac:dyDescent="0.25">
      <c r="A37" s="3" t="s">
        <v>35</v>
      </c>
      <c r="B37" s="6">
        <v>5.1720000803470598E-2</v>
      </c>
      <c r="C37" s="6">
        <v>27.498964227387361</v>
      </c>
      <c r="D37" s="6">
        <v>38689.017214191299</v>
      </c>
      <c r="E37" s="6">
        <v>15.888046941425996</v>
      </c>
      <c r="F37" s="6">
        <v>15.67268</v>
      </c>
      <c r="G37" s="37">
        <v>649335</v>
      </c>
    </row>
    <row r="38" spans="1:7" x14ac:dyDescent="0.25">
      <c r="A38" s="3" t="s">
        <v>36</v>
      </c>
      <c r="B38" s="6">
        <v>1.0673999786377</v>
      </c>
      <c r="C38" s="6">
        <v>7.4259704961548607</v>
      </c>
      <c r="D38" s="6">
        <v>6319.003648503648</v>
      </c>
      <c r="E38" s="6">
        <v>41.026654057019734</v>
      </c>
      <c r="F38" s="6">
        <v>18.406230000000001</v>
      </c>
      <c r="G38" s="37">
        <v>32365999</v>
      </c>
    </row>
    <row r="39" spans="1:7" x14ac:dyDescent="0.25">
      <c r="A39" s="3" t="s">
        <v>37</v>
      </c>
      <c r="B39" s="6">
        <v>0.66141998767852805</v>
      </c>
      <c r="C39" s="6">
        <v>5.8193148304095388</v>
      </c>
      <c r="D39" s="6">
        <v>498.47514814438102</v>
      </c>
      <c r="E39" s="6">
        <v>93.034395415081789</v>
      </c>
      <c r="F39" s="6">
        <v>16.503910000000001</v>
      </c>
      <c r="G39" s="37">
        <v>20250833</v>
      </c>
    </row>
    <row r="40" spans="1:7" x14ac:dyDescent="0.25">
      <c r="A40" s="3" t="s">
        <v>38</v>
      </c>
      <c r="B40" s="6">
        <v>0.68136000633239702</v>
      </c>
      <c r="C40" s="6">
        <v>4.2999999999999261</v>
      </c>
      <c r="D40" s="6">
        <v>16227.712111667724</v>
      </c>
      <c r="E40" s="6">
        <v>22.35562152645932</v>
      </c>
      <c r="F40" s="6">
        <v>15.73082</v>
      </c>
      <c r="G40" s="37">
        <v>441543</v>
      </c>
    </row>
    <row r="41" spans="1:7" x14ac:dyDescent="0.25">
      <c r="A41" s="3" t="s">
        <v>39</v>
      </c>
      <c r="B41" s="6">
        <v>0.45592001080513</v>
      </c>
      <c r="C41" s="6">
        <v>5.11019873147265</v>
      </c>
      <c r="D41" s="6">
        <v>8084.6290001796442</v>
      </c>
      <c r="E41" s="6">
        <v>46.964942568096397</v>
      </c>
      <c r="F41" s="6">
        <v>19.319980000000001</v>
      </c>
      <c r="G41" s="37">
        <v>128932753</v>
      </c>
    </row>
    <row r="42" spans="1:7" x14ac:dyDescent="0.25">
      <c r="A42" s="3" t="s">
        <v>40</v>
      </c>
      <c r="B42" s="6">
        <v>0.43986999988555903</v>
      </c>
      <c r="C42" s="6">
        <v>7.0940717618723852</v>
      </c>
      <c r="D42" s="6">
        <v>983.1659406832938</v>
      </c>
      <c r="E42" s="6">
        <v>23.097969840114018</v>
      </c>
      <c r="F42" s="6">
        <v>22.336099999999998</v>
      </c>
      <c r="G42" s="37">
        <v>4033963</v>
      </c>
    </row>
    <row r="43" spans="1:7" x14ac:dyDescent="0.25">
      <c r="A43" s="3" t="s">
        <v>41</v>
      </c>
      <c r="B43" s="6">
        <v>0.28334999084472701</v>
      </c>
      <c r="C43" s="6">
        <v>6.3651616849400057</v>
      </c>
      <c r="D43" s="6">
        <v>1273.2104024846064</v>
      </c>
      <c r="E43" s="6">
        <v>38.931399323039599</v>
      </c>
      <c r="F43" s="6">
        <v>14.71114</v>
      </c>
      <c r="G43" s="37">
        <v>3278290</v>
      </c>
    </row>
    <row r="44" spans="1:7" x14ac:dyDescent="0.25">
      <c r="A44" s="3" t="s">
        <v>42</v>
      </c>
      <c r="B44" s="6">
        <v>0.14440999925136599</v>
      </c>
      <c r="C44" s="6">
        <v>5.9637801567363766</v>
      </c>
      <c r="D44" s="6">
        <v>4149.9056475064735</v>
      </c>
      <c r="E44" s="6">
        <v>64.003760570758601</v>
      </c>
      <c r="F44" s="6">
        <v>26.193249999999999</v>
      </c>
      <c r="G44" s="37">
        <v>2540905</v>
      </c>
    </row>
    <row r="45" spans="1:7" x14ac:dyDescent="0.25">
      <c r="A45" s="3" t="s">
        <v>43</v>
      </c>
      <c r="B45" s="6">
        <v>0.30219998955726601</v>
      </c>
      <c r="C45" s="6">
        <v>4.8164146502244023</v>
      </c>
      <c r="D45" s="6">
        <v>376.34220962776061</v>
      </c>
      <c r="E45" s="6">
        <v>64.012022127870878</v>
      </c>
      <c r="F45" s="6">
        <v>20.81352</v>
      </c>
      <c r="G45" s="37">
        <v>29136808</v>
      </c>
    </row>
    <row r="46" spans="1:7" x14ac:dyDescent="0.25">
      <c r="A46" s="3" t="s">
        <v>44</v>
      </c>
      <c r="B46" s="6">
        <v>1.8561999797821001</v>
      </c>
      <c r="C46" s="6">
        <v>1.0705038483302332</v>
      </c>
      <c r="D46" s="6">
        <v>43676.329041344754</v>
      </c>
      <c r="E46" s="6">
        <v>26.101342986602088</v>
      </c>
      <c r="F46" s="6">
        <v>11.52436</v>
      </c>
      <c r="G46" s="37">
        <v>17134872</v>
      </c>
    </row>
    <row r="47" spans="1:7" x14ac:dyDescent="0.25">
      <c r="A47" s="3" t="s">
        <v>45</v>
      </c>
      <c r="B47" s="6">
        <v>1.6806099414825399</v>
      </c>
      <c r="C47" s="6">
        <v>0.60193444078448977</v>
      </c>
      <c r="D47" s="6">
        <v>66117.006972817806</v>
      </c>
      <c r="E47" s="6">
        <v>28.409666470846908</v>
      </c>
      <c r="F47" s="6">
        <v>15.30602</v>
      </c>
      <c r="G47" s="37">
        <v>5421241</v>
      </c>
    </row>
    <row r="48" spans="1:7" x14ac:dyDescent="0.25">
      <c r="A48" s="3" t="s">
        <v>46</v>
      </c>
      <c r="B48" s="6">
        <v>0.73530000448226895</v>
      </c>
      <c r="C48" s="6">
        <v>3.7098103874690906</v>
      </c>
      <c r="D48" s="6">
        <v>10066.293397443815</v>
      </c>
      <c r="E48" s="6">
        <v>21.002491759149297</v>
      </c>
      <c r="F48" s="6">
        <v>11.108919999999999</v>
      </c>
      <c r="G48" s="37">
        <v>37846611</v>
      </c>
    </row>
    <row r="49" spans="1:7" x14ac:dyDescent="0.25">
      <c r="A49" s="3" t="s">
        <v>47</v>
      </c>
      <c r="B49" s="6">
        <v>1.59007000923157</v>
      </c>
      <c r="C49" s="6">
        <v>1.8986750387770712</v>
      </c>
      <c r="D49" s="6">
        <v>19240.681780251747</v>
      </c>
      <c r="E49" s="6">
        <v>22.665676290055632</v>
      </c>
      <c r="F49" s="6">
        <v>10.42656</v>
      </c>
      <c r="G49" s="37">
        <v>10196709</v>
      </c>
    </row>
    <row r="50" spans="1:7" x14ac:dyDescent="0.25">
      <c r="A50" s="3" t="s">
        <v>48</v>
      </c>
      <c r="B50" s="6">
        <v>0.46086001396179199</v>
      </c>
      <c r="C50" s="6">
        <v>-0.9396559797708619</v>
      </c>
      <c r="D50" s="6">
        <v>5634.8940223347727</v>
      </c>
      <c r="E50" s="6">
        <v>21.402772707478693</v>
      </c>
      <c r="F50" s="6">
        <v>9.12913</v>
      </c>
      <c r="G50" s="37">
        <v>19237691</v>
      </c>
    </row>
    <row r="51" spans="1:7" x14ac:dyDescent="0.25">
      <c r="A51" s="3" t="s">
        <v>49</v>
      </c>
      <c r="B51" s="6">
        <v>0.54085999727249101</v>
      </c>
      <c r="C51" s="6">
        <v>4.2662476259499584</v>
      </c>
      <c r="D51" s="6">
        <v>800.43110309938504</v>
      </c>
      <c r="E51" s="6">
        <v>81.910321426951114</v>
      </c>
      <c r="F51" s="6">
        <v>20.723179999999999</v>
      </c>
      <c r="G51" s="37">
        <v>16743927</v>
      </c>
    </row>
    <row r="52" spans="1:7" x14ac:dyDescent="0.25">
      <c r="A52" s="3" t="s">
        <v>50</v>
      </c>
      <c r="B52" s="6">
        <v>0.79212999343872104</v>
      </c>
      <c r="C52" s="6">
        <v>0.5844780879253193</v>
      </c>
      <c r="D52" s="6">
        <v>4106.5704446375339</v>
      </c>
      <c r="E52" s="6">
        <v>24.311684081557306</v>
      </c>
      <c r="F52" s="6">
        <v>10.51355</v>
      </c>
      <c r="G52" s="37">
        <v>8737371</v>
      </c>
    </row>
    <row r="53" spans="1:7" x14ac:dyDescent="0.25">
      <c r="A53" s="3" t="s">
        <v>51</v>
      </c>
      <c r="B53" s="6">
        <v>2.0539999008178702</v>
      </c>
      <c r="C53" s="6">
        <v>15.24037703594152</v>
      </c>
      <c r="D53" s="6">
        <v>34758.404334915271</v>
      </c>
      <c r="E53" s="6">
        <v>23.548008418714712</v>
      </c>
      <c r="F53" s="6">
        <v>16.55659</v>
      </c>
      <c r="G53" s="37">
        <v>5850342</v>
      </c>
    </row>
    <row r="54" spans="1:7" x14ac:dyDescent="0.25">
      <c r="A54" s="3" t="s">
        <v>52</v>
      </c>
      <c r="B54" s="6">
        <v>0.63331997394561801</v>
      </c>
      <c r="C54" s="6">
        <v>4.827314044859051</v>
      </c>
      <c r="D54" s="6">
        <v>14582.836060850364</v>
      </c>
      <c r="E54" s="6">
        <v>20.84600801517869</v>
      </c>
      <c r="F54" s="6">
        <v>9.8575300000000006</v>
      </c>
      <c r="G54" s="37">
        <v>5459642</v>
      </c>
    </row>
    <row r="55" spans="1:7" x14ac:dyDescent="0.25">
      <c r="A55" s="3" t="s">
        <v>53</v>
      </c>
      <c r="B55" s="6">
        <v>2.10624003410339</v>
      </c>
      <c r="C55" s="6">
        <v>1.2218191529610749</v>
      </c>
      <c r="D55" s="6">
        <v>19327.423693832985</v>
      </c>
      <c r="E55" s="6">
        <v>20.213249852838871</v>
      </c>
      <c r="F55" s="6">
        <v>12.08019</v>
      </c>
      <c r="G55" s="37">
        <v>2078938</v>
      </c>
    </row>
    <row r="56" spans="1:7" x14ac:dyDescent="0.25">
      <c r="A56" s="3" t="s">
        <v>54</v>
      </c>
      <c r="B56" s="6">
        <v>0.76160001754760698</v>
      </c>
      <c r="C56" s="6">
        <v>3.0397470850071215</v>
      </c>
      <c r="D56" s="6">
        <v>5910.668523021287</v>
      </c>
      <c r="E56" s="6">
        <v>45.66513050216529</v>
      </c>
      <c r="F56" s="6">
        <v>18.044370000000001</v>
      </c>
      <c r="G56" s="37">
        <v>59308690</v>
      </c>
    </row>
    <row r="57" spans="1:7" x14ac:dyDescent="0.25">
      <c r="A57" s="3" t="s">
        <v>55</v>
      </c>
      <c r="B57" s="6">
        <v>1.3952000141143801</v>
      </c>
      <c r="C57" s="6">
        <v>1.3804782633314971E-2</v>
      </c>
      <c r="D57" s="6">
        <v>26191.985807810932</v>
      </c>
      <c r="E57" s="6">
        <v>21.961482217125013</v>
      </c>
      <c r="F57" s="6">
        <v>10.563980000000001</v>
      </c>
      <c r="G57" s="37">
        <v>46754778</v>
      </c>
    </row>
    <row r="58" spans="1:7" x14ac:dyDescent="0.25">
      <c r="A58" s="3" t="s">
        <v>56</v>
      </c>
      <c r="B58" s="6">
        <v>0.15663999319076499</v>
      </c>
      <c r="C58" s="6">
        <v>8.0159594057522412</v>
      </c>
      <c r="D58" s="6">
        <v>1610.1160513802852</v>
      </c>
      <c r="E58" s="6">
        <v>37.433780799783214</v>
      </c>
      <c r="F58" s="6">
        <v>8.6056600000000003</v>
      </c>
      <c r="G58" s="37">
        <v>21413249</v>
      </c>
    </row>
    <row r="59" spans="1:7" x14ac:dyDescent="0.25">
      <c r="A59" s="3" t="s">
        <v>57</v>
      </c>
      <c r="B59" s="6">
        <v>3.3919401168823202</v>
      </c>
      <c r="C59" s="6">
        <v>5.9889271333556593</v>
      </c>
      <c r="D59" s="6">
        <v>44877.910174216042</v>
      </c>
      <c r="E59" s="6">
        <v>25.283074889864963</v>
      </c>
      <c r="F59" s="6">
        <v>13.34554</v>
      </c>
      <c r="G59" s="37">
        <v>10099265</v>
      </c>
    </row>
    <row r="60" spans="1:7" x14ac:dyDescent="0.25">
      <c r="A60" s="3" t="s">
        <v>58</v>
      </c>
      <c r="B60" s="6">
        <v>8.9139997959137005E-2</v>
      </c>
      <c r="C60" s="6">
        <v>6.5000000000047891</v>
      </c>
      <c r="D60" s="6">
        <v>417.11051385520199</v>
      </c>
      <c r="E60" s="6">
        <v>59.084970450040728</v>
      </c>
      <c r="F60" s="6">
        <v>15.33145</v>
      </c>
      <c r="G60" s="37">
        <v>9537645</v>
      </c>
    </row>
    <row r="61" spans="1:7" x14ac:dyDescent="0.25">
      <c r="A61" s="3" t="s">
        <v>59</v>
      </c>
      <c r="B61" s="6">
        <v>0.51616001129150402</v>
      </c>
      <c r="C61" s="6">
        <v>6.3588860812991754</v>
      </c>
      <c r="D61" s="6">
        <v>520.69181227892</v>
      </c>
      <c r="E61" s="6">
        <v>86.154025919706541</v>
      </c>
      <c r="F61" s="6">
        <v>19.648009999999999</v>
      </c>
      <c r="G61" s="37">
        <v>59734218</v>
      </c>
    </row>
    <row r="62" spans="1:7" x14ac:dyDescent="0.25">
      <c r="A62" s="3" t="s">
        <v>60</v>
      </c>
      <c r="B62" s="6">
        <v>0.253490000963211</v>
      </c>
      <c r="C62" s="6">
        <v>3.9956787703640231</v>
      </c>
      <c r="D62" s="6">
        <v>392.85505648182601</v>
      </c>
      <c r="E62" s="6">
        <v>76.228799727827351</v>
      </c>
      <c r="F62" s="6">
        <v>19.615760000000002</v>
      </c>
      <c r="G62" s="37">
        <v>8278724</v>
      </c>
    </row>
    <row r="63" spans="1:7" x14ac:dyDescent="0.25">
      <c r="A63" s="3" t="s">
        <v>61</v>
      </c>
      <c r="B63" s="6">
        <v>0.55794000625610396</v>
      </c>
      <c r="C63" s="6">
        <v>5.1703429744023737</v>
      </c>
      <c r="D63" s="6">
        <v>390.58213659556606</v>
      </c>
      <c r="E63" s="6">
        <v>100.33839946629502</v>
      </c>
      <c r="F63" s="6">
        <v>13.517569999999999</v>
      </c>
      <c r="G63" s="37">
        <v>45741007</v>
      </c>
    </row>
    <row r="64" spans="1:7" x14ac:dyDescent="0.25">
      <c r="A64" s="3" t="s">
        <v>62</v>
      </c>
      <c r="B64" s="6">
        <v>1.77447998523712</v>
      </c>
      <c r="C64" s="6">
        <v>1.9113776646944416</v>
      </c>
      <c r="D64" s="6">
        <v>39471.731251428864</v>
      </c>
      <c r="E64" s="6">
        <v>26.666562470082294</v>
      </c>
      <c r="F64" s="6">
        <v>12.960369999999999</v>
      </c>
      <c r="G64" s="37">
        <v>67886011</v>
      </c>
    </row>
    <row r="65" spans="1:7" x14ac:dyDescent="0.25">
      <c r="A65" s="3" t="s">
        <v>63</v>
      </c>
      <c r="B65" s="6">
        <v>2.73827004432678</v>
      </c>
      <c r="C65" s="6">
        <v>2.5319203804648396</v>
      </c>
      <c r="D65" s="6">
        <v>43961.168507253649</v>
      </c>
      <c r="E65" s="6">
        <v>29.568269020866804</v>
      </c>
      <c r="F65" s="6">
        <v>13.037570000000001</v>
      </c>
      <c r="G65" s="37">
        <v>331002651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/>
  <dimension ref="A1:F31"/>
  <sheetViews>
    <sheetView workbookViewId="0">
      <selection activeCell="J2" sqref="J2:K4"/>
    </sheetView>
  </sheetViews>
  <sheetFormatPr defaultRowHeight="15" x14ac:dyDescent="0.25"/>
  <cols>
    <col min="1" max="1" width="10" style="4" bestFit="1" customWidth="1"/>
    <col min="2" max="5" width="33.5703125" style="4" customWidth="1"/>
  </cols>
  <sheetData>
    <row r="1" spans="1:6" x14ac:dyDescent="0.25">
      <c r="A1" s="8" t="s">
        <v>72</v>
      </c>
      <c r="B1" s="8" t="s">
        <v>70</v>
      </c>
      <c r="C1" s="8" t="s">
        <v>77</v>
      </c>
      <c r="D1" s="8" t="s">
        <v>78</v>
      </c>
      <c r="E1" s="8" t="s">
        <v>79</v>
      </c>
    </row>
    <row r="2" spans="1:6" x14ac:dyDescent="0.25">
      <c r="A2" s="8">
        <v>102180010</v>
      </c>
      <c r="B2" s="2" t="s">
        <v>65</v>
      </c>
      <c r="C2" s="2" t="s">
        <v>64</v>
      </c>
      <c r="D2" s="34" t="s">
        <v>66</v>
      </c>
      <c r="E2" s="2" t="s">
        <v>67</v>
      </c>
    </row>
    <row r="3" spans="1:6" x14ac:dyDescent="0.25">
      <c r="A3" s="8">
        <v>101190016</v>
      </c>
      <c r="B3" s="2" t="s">
        <v>64</v>
      </c>
      <c r="C3" s="34" t="s">
        <v>66</v>
      </c>
      <c r="D3" s="2" t="s">
        <v>67</v>
      </c>
      <c r="E3" s="2" t="s">
        <v>68</v>
      </c>
    </row>
    <row r="4" spans="1:6" x14ac:dyDescent="0.25">
      <c r="A4" s="8">
        <v>101200457</v>
      </c>
      <c r="B4" s="34" t="s">
        <v>66</v>
      </c>
      <c r="C4" s="2" t="s">
        <v>67</v>
      </c>
      <c r="D4" s="2" t="s">
        <v>68</v>
      </c>
      <c r="E4" s="2" t="s">
        <v>65</v>
      </c>
    </row>
    <row r="5" spans="1:6" x14ac:dyDescent="0.25">
      <c r="A5" s="8">
        <v>102180021</v>
      </c>
      <c r="B5" s="36" t="s">
        <v>67</v>
      </c>
      <c r="C5" s="2" t="s">
        <v>68</v>
      </c>
      <c r="D5" s="2" t="s">
        <v>65</v>
      </c>
      <c r="E5" s="2" t="s">
        <v>64</v>
      </c>
      <c r="F5" s="35"/>
    </row>
    <row r="6" spans="1:6" x14ac:dyDescent="0.25">
      <c r="A6" s="8">
        <v>101170214</v>
      </c>
      <c r="B6" s="2" t="s">
        <v>68</v>
      </c>
      <c r="C6" s="2" t="s">
        <v>65</v>
      </c>
      <c r="D6" s="2" t="s">
        <v>64</v>
      </c>
      <c r="E6" s="34" t="s">
        <v>66</v>
      </c>
    </row>
    <row r="7" spans="1:6" x14ac:dyDescent="0.25">
      <c r="A7" s="8">
        <v>101180193</v>
      </c>
      <c r="B7" s="2" t="s">
        <v>65</v>
      </c>
      <c r="C7" s="34" t="s">
        <v>66</v>
      </c>
      <c r="D7" s="2" t="s">
        <v>67</v>
      </c>
      <c r="E7" s="2" t="s">
        <v>68</v>
      </c>
    </row>
    <row r="8" spans="1:6" x14ac:dyDescent="0.25">
      <c r="A8" s="8">
        <v>101190475</v>
      </c>
      <c r="B8" s="2" t="s">
        <v>64</v>
      </c>
      <c r="C8" s="36" t="s">
        <v>67</v>
      </c>
      <c r="D8" s="2" t="s">
        <v>68</v>
      </c>
      <c r="E8" s="2" t="s">
        <v>65</v>
      </c>
      <c r="F8" s="35"/>
    </row>
    <row r="9" spans="1:6" x14ac:dyDescent="0.25">
      <c r="A9" s="8">
        <v>102180054</v>
      </c>
      <c r="B9" s="34" t="s">
        <v>66</v>
      </c>
      <c r="C9" s="2" t="s">
        <v>68</v>
      </c>
      <c r="D9" s="2" t="s">
        <v>65</v>
      </c>
      <c r="E9" s="2" t="s">
        <v>64</v>
      </c>
    </row>
    <row r="10" spans="1:6" x14ac:dyDescent="0.25">
      <c r="A10" s="8">
        <v>102180027</v>
      </c>
      <c r="B10" s="2" t="s">
        <v>67</v>
      </c>
      <c r="C10" s="2" t="s">
        <v>65</v>
      </c>
      <c r="D10" s="2" t="s">
        <v>64</v>
      </c>
      <c r="E10" s="34" t="s">
        <v>66</v>
      </c>
    </row>
    <row r="11" spans="1:6" x14ac:dyDescent="0.25">
      <c r="A11" s="8">
        <v>101190516</v>
      </c>
      <c r="B11" s="2" t="s">
        <v>68</v>
      </c>
      <c r="C11" s="2" t="s">
        <v>64</v>
      </c>
      <c r="D11" s="34" t="s">
        <v>66</v>
      </c>
      <c r="E11" s="2" t="s">
        <v>67</v>
      </c>
    </row>
    <row r="12" spans="1:6" x14ac:dyDescent="0.25">
      <c r="A12" s="8">
        <v>101190648</v>
      </c>
      <c r="B12" s="2" t="s">
        <v>65</v>
      </c>
      <c r="C12" s="36" t="s">
        <v>67</v>
      </c>
      <c r="D12" s="2" t="s">
        <v>68</v>
      </c>
      <c r="E12" s="2" t="s">
        <v>64</v>
      </c>
      <c r="F12" s="35"/>
    </row>
    <row r="13" spans="1:6" x14ac:dyDescent="0.25">
      <c r="A13" s="8">
        <v>101180325</v>
      </c>
      <c r="B13" s="2" t="s">
        <v>64</v>
      </c>
      <c r="C13" s="2" t="s">
        <v>68</v>
      </c>
      <c r="D13" s="2" t="s">
        <v>65</v>
      </c>
      <c r="E13" s="34" t="s">
        <v>66</v>
      </c>
    </row>
    <row r="14" spans="1:6" x14ac:dyDescent="0.25">
      <c r="A14" s="8">
        <v>101170498</v>
      </c>
      <c r="B14" s="34" t="s">
        <v>66</v>
      </c>
      <c r="C14" s="2" t="s">
        <v>65</v>
      </c>
      <c r="D14" s="2" t="s">
        <v>64</v>
      </c>
      <c r="E14" s="2" t="s">
        <v>67</v>
      </c>
    </row>
    <row r="15" spans="1:6" x14ac:dyDescent="0.25">
      <c r="A15" s="8">
        <v>102200030</v>
      </c>
      <c r="B15" s="2" t="s">
        <v>67</v>
      </c>
      <c r="C15" s="2" t="s">
        <v>64</v>
      </c>
      <c r="D15" s="34" t="s">
        <v>66</v>
      </c>
      <c r="E15" s="2" t="s">
        <v>68</v>
      </c>
    </row>
    <row r="16" spans="1:6" x14ac:dyDescent="0.25">
      <c r="A16" s="8">
        <v>101180206</v>
      </c>
      <c r="B16" s="2" t="s">
        <v>68</v>
      </c>
      <c r="C16" s="34" t="s">
        <v>66</v>
      </c>
      <c r="D16" s="2" t="s">
        <v>67</v>
      </c>
      <c r="E16" s="2" t="s">
        <v>65</v>
      </c>
    </row>
    <row r="17" spans="1:6" x14ac:dyDescent="0.25">
      <c r="A17" s="8">
        <v>101180336</v>
      </c>
      <c r="B17" s="2" t="s">
        <v>65</v>
      </c>
      <c r="C17" s="2" t="s">
        <v>68</v>
      </c>
      <c r="D17" s="2" t="s">
        <v>64</v>
      </c>
      <c r="E17" s="34" t="s">
        <v>66</v>
      </c>
    </row>
    <row r="18" spans="1:6" x14ac:dyDescent="0.25">
      <c r="A18" s="8">
        <v>101190431</v>
      </c>
      <c r="B18" s="2" t="s">
        <v>64</v>
      </c>
      <c r="C18" s="2" t="s">
        <v>65</v>
      </c>
      <c r="D18" s="34" t="s">
        <v>66</v>
      </c>
      <c r="E18" s="2" t="s">
        <v>67</v>
      </c>
    </row>
    <row r="19" spans="1:6" x14ac:dyDescent="0.25">
      <c r="A19" s="8">
        <v>101180319</v>
      </c>
      <c r="B19" s="34" t="s">
        <v>66</v>
      </c>
      <c r="C19" s="2" t="s">
        <v>64</v>
      </c>
      <c r="D19" s="2" t="s">
        <v>67</v>
      </c>
      <c r="E19" s="2" t="s">
        <v>68</v>
      </c>
    </row>
    <row r="20" spans="1:6" x14ac:dyDescent="0.25">
      <c r="A20" s="8">
        <v>101180064</v>
      </c>
      <c r="B20" s="2" t="s">
        <v>67</v>
      </c>
      <c r="C20" s="34" t="s">
        <v>66</v>
      </c>
      <c r="D20" s="2" t="s">
        <v>68</v>
      </c>
      <c r="E20" s="2" t="s">
        <v>65</v>
      </c>
    </row>
    <row r="21" spans="1:6" x14ac:dyDescent="0.25">
      <c r="A21" s="8">
        <v>101180120</v>
      </c>
      <c r="B21" s="2" t="s">
        <v>68</v>
      </c>
      <c r="C21" s="36" t="s">
        <v>67</v>
      </c>
      <c r="D21" s="2" t="s">
        <v>65</v>
      </c>
      <c r="E21" s="2" t="s">
        <v>64</v>
      </c>
      <c r="F21" s="35"/>
    </row>
    <row r="22" spans="1:6" x14ac:dyDescent="0.25">
      <c r="A22" s="8">
        <v>101180502</v>
      </c>
      <c r="B22" s="2" t="s">
        <v>65</v>
      </c>
      <c r="C22" s="2" t="s">
        <v>68</v>
      </c>
      <c r="D22" s="2" t="s">
        <v>64</v>
      </c>
      <c r="E22" s="36" t="s">
        <v>67</v>
      </c>
      <c r="F22" s="35"/>
    </row>
    <row r="23" spans="1:6" x14ac:dyDescent="0.25">
      <c r="A23" s="8">
        <v>101180555</v>
      </c>
      <c r="B23" s="2" t="s">
        <v>64</v>
      </c>
      <c r="C23" s="2" t="s">
        <v>65</v>
      </c>
      <c r="D23" s="34" t="s">
        <v>66</v>
      </c>
      <c r="E23" s="2" t="s">
        <v>68</v>
      </c>
    </row>
    <row r="24" spans="1:6" x14ac:dyDescent="0.25">
      <c r="A24" s="8">
        <v>101190414</v>
      </c>
      <c r="B24" s="34" t="s">
        <v>66</v>
      </c>
      <c r="C24" s="2" t="s">
        <v>64</v>
      </c>
      <c r="D24" s="2" t="s">
        <v>67</v>
      </c>
      <c r="E24" s="2" t="s">
        <v>65</v>
      </c>
    </row>
    <row r="25" spans="1:6" x14ac:dyDescent="0.25">
      <c r="A25" s="8">
        <v>102180024</v>
      </c>
      <c r="B25" s="2" t="s">
        <v>67</v>
      </c>
      <c r="C25" s="34" t="s">
        <v>66</v>
      </c>
      <c r="D25" s="2" t="s">
        <v>68</v>
      </c>
      <c r="E25" s="2" t="s">
        <v>64</v>
      </c>
    </row>
    <row r="26" spans="1:6" x14ac:dyDescent="0.25">
      <c r="A26" s="8">
        <v>101170148</v>
      </c>
      <c r="B26" s="2" t="s">
        <v>68</v>
      </c>
      <c r="C26" s="2" t="s">
        <v>67</v>
      </c>
      <c r="D26" s="2" t="s">
        <v>65</v>
      </c>
      <c r="E26" s="34" t="s">
        <v>66</v>
      </c>
    </row>
    <row r="27" spans="1:6" x14ac:dyDescent="0.25">
      <c r="A27" s="8">
        <v>101180201</v>
      </c>
      <c r="B27" s="2" t="s">
        <v>65</v>
      </c>
      <c r="C27" s="2" t="s">
        <v>68</v>
      </c>
      <c r="D27" s="34" t="s">
        <v>66</v>
      </c>
      <c r="E27" s="2" t="s">
        <v>67</v>
      </c>
    </row>
    <row r="28" spans="1:6" x14ac:dyDescent="0.25">
      <c r="A28" s="8">
        <v>101190008</v>
      </c>
      <c r="B28" s="2" t="s">
        <v>64</v>
      </c>
      <c r="C28" s="2" t="s">
        <v>65</v>
      </c>
      <c r="D28" s="2" t="s">
        <v>67</v>
      </c>
      <c r="E28" s="2" t="s">
        <v>68</v>
      </c>
    </row>
    <row r="29" spans="1:6" x14ac:dyDescent="0.25">
      <c r="A29" s="8">
        <v>102160085</v>
      </c>
      <c r="B29" s="34" t="s">
        <v>66</v>
      </c>
      <c r="C29" s="2" t="s">
        <v>64</v>
      </c>
      <c r="D29" s="2" t="s">
        <v>68</v>
      </c>
      <c r="E29" s="2" t="s">
        <v>65</v>
      </c>
    </row>
    <row r="30" spans="1:6" x14ac:dyDescent="0.25">
      <c r="A30" s="8">
        <v>101180481</v>
      </c>
      <c r="B30" s="2" t="s">
        <v>67</v>
      </c>
      <c r="C30" s="34" t="s">
        <v>66</v>
      </c>
      <c r="D30" s="2" t="s">
        <v>65</v>
      </c>
      <c r="E30" s="2" t="s">
        <v>64</v>
      </c>
    </row>
    <row r="31" spans="1:6" x14ac:dyDescent="0.25">
      <c r="A31" s="8">
        <v>101170502</v>
      </c>
      <c r="B31" s="2" t="s">
        <v>68</v>
      </c>
      <c r="C31" s="2" t="s">
        <v>67</v>
      </c>
      <c r="D31" s="2" t="s">
        <v>64</v>
      </c>
      <c r="E31" s="34" t="s">
        <v>66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"/>
  <dimension ref="A1:AC217"/>
  <sheetViews>
    <sheetView showGridLines="0" topLeftCell="F10" zoomScaleNormal="100" workbookViewId="0">
      <selection activeCell="J2" sqref="J2:K4"/>
    </sheetView>
  </sheetViews>
  <sheetFormatPr defaultColWidth="0" defaultRowHeight="15.75" zeroHeight="1" x14ac:dyDescent="0.25"/>
  <cols>
    <col min="1" max="1" width="6.7109375" style="11" hidden="1" customWidth="1"/>
    <col min="2" max="2" width="17" style="11" bestFit="1" customWidth="1"/>
    <col min="3" max="6" width="22.85546875" style="11" customWidth="1"/>
    <col min="7" max="7" width="2.7109375" style="11" customWidth="1"/>
    <col min="8" max="8" width="22.85546875" style="41" customWidth="1"/>
    <col min="9" max="9" width="2.7109375" style="11" customWidth="1"/>
    <col min="10" max="10" width="20.7109375" style="11" bestFit="1" customWidth="1"/>
    <col min="11" max="21" width="9.140625" style="11" customWidth="1"/>
    <col min="22" max="22" width="0.140625" style="11" customWidth="1"/>
    <col min="23" max="29" width="0" style="11" hidden="1" customWidth="1"/>
    <col min="30" max="16384" width="9.140625" style="11" hidden="1"/>
  </cols>
  <sheetData>
    <row r="1" spans="1:21" ht="15.75" customHeight="1" x14ac:dyDescent="0.25">
      <c r="B1" s="165" t="s">
        <v>69</v>
      </c>
      <c r="C1" s="9" t="s">
        <v>70</v>
      </c>
      <c r="D1" s="28" t="s">
        <v>77</v>
      </c>
      <c r="E1" s="28" t="s">
        <v>78</v>
      </c>
      <c r="F1" s="10" t="s">
        <v>79</v>
      </c>
      <c r="H1" s="163" t="s">
        <v>93</v>
      </c>
      <c r="J1" s="173" t="s">
        <v>71</v>
      </c>
      <c r="K1" s="174"/>
      <c r="L1" s="175" t="s">
        <v>73</v>
      </c>
      <c r="M1" s="175"/>
      <c r="N1" s="175"/>
      <c r="O1" s="175"/>
      <c r="P1" s="175"/>
      <c r="Q1" s="175"/>
      <c r="R1" s="175"/>
      <c r="S1" s="175"/>
      <c r="T1" s="175"/>
      <c r="U1" s="176"/>
    </row>
    <row r="2" spans="1:21" ht="35.25" customHeight="1" thickBot="1" x14ac:dyDescent="0.3">
      <c r="A2" s="33"/>
      <c r="B2" s="166"/>
      <c r="C2" s="12" t="str">
        <f>IFERROR(VLOOKUP('Base de Dados P1'!J2,Cruzamento!$A$2:$E$31,2,FALSE),"")</f>
        <v>Gastos P&amp;D (%)</v>
      </c>
      <c r="D2" s="29" t="str">
        <f>IFERROR(VLOOKUP('Base de Dados P1'!J2,Cruzamento!$A$2:$E$31,3,FALSE),"")</f>
        <v>Razão de Dependência de Jovens (%)</v>
      </c>
      <c r="E2" s="29" t="str">
        <f>IFERROR(VLOOKUP('Base de Dados P1'!J2,Cruzamento!$A$2:$E$31,4,FALSE),"")</f>
        <v>Gastos com educação (%)</v>
      </c>
      <c r="F2" s="13" t="str">
        <f>IFERROR(VLOOKUP('Base de Dados P1'!J2,Cruzamento!$A$2:$E$31,5,FALSE),"")</f>
        <v>Taxa Crescimento (%)</v>
      </c>
      <c r="H2" s="164"/>
      <c r="J2" s="181">
        <v>101190648</v>
      </c>
      <c r="K2" s="182"/>
      <c r="L2" s="177"/>
      <c r="M2" s="177"/>
      <c r="N2" s="177"/>
      <c r="O2" s="177"/>
      <c r="P2" s="177"/>
      <c r="Q2" s="177"/>
      <c r="R2" s="177"/>
      <c r="S2" s="177"/>
      <c r="T2" s="177"/>
      <c r="U2" s="178"/>
    </row>
    <row r="3" spans="1:21" ht="15" customHeight="1" x14ac:dyDescent="0.25">
      <c r="A3" s="14">
        <v>2</v>
      </c>
      <c r="B3" s="15" t="s">
        <v>0</v>
      </c>
      <c r="C3" s="16">
        <f>IFERROR(IF(HLOOKUP(C$2,'Database Geral'!$B$1:$F$65,'Base de Dados P1'!$A3,FALSE)=0,,HLOOKUP(C$2,'Database Geral'!$B$1:$F$65,'Base de Dados P1'!$A3,FALSE)),"")</f>
        <v>0.61744999885559104</v>
      </c>
      <c r="D3" s="30">
        <f>IFERROR(IF(HLOOKUP(D$2,'Database Geral'!$B$1:$F$65,'Base de Dados P1'!$A3,FALSE)=0,,HLOOKUP(D$2,'Database Geral'!$B$1:$F$65,'Base de Dados P1'!$A3,FALSE)),"")</f>
        <v>38.566711779316776</v>
      </c>
      <c r="E3" s="30">
        <f>IFERROR(IF(HLOOKUP(E$2,'Database Geral'!$B$1:$F$65,'Base de Dados P1'!$A3,FALSE)=0,,HLOOKUP(E$2,'Database Geral'!$B$1:$F$65,'Base de Dados P1'!$A3,FALSE)),"")</f>
        <v>15.570460000000001</v>
      </c>
      <c r="F3" s="17">
        <f>IFERROR(IF(HLOOKUP(F$2,'Database Geral'!$B$1:$F$65,'Base de Dados P1'!$A3,FALSE)=0,,HLOOKUP(F$2,'Database Geral'!$B$1:$F$65,'Base de Dados P1'!$A3,FALSE)),"")</f>
        <v>9.4515783314663508</v>
      </c>
      <c r="H3" s="38">
        <f>'Database Geral'!G2</f>
        <v>45195774</v>
      </c>
      <c r="J3" s="181"/>
      <c r="K3" s="182"/>
      <c r="L3" s="177"/>
      <c r="M3" s="177"/>
      <c r="N3" s="177"/>
      <c r="O3" s="177"/>
      <c r="P3" s="177"/>
      <c r="Q3" s="177"/>
      <c r="R3" s="177"/>
      <c r="S3" s="177"/>
      <c r="T3" s="177"/>
      <c r="U3" s="178"/>
    </row>
    <row r="4" spans="1:21" ht="15" customHeight="1" thickBot="1" x14ac:dyDescent="0.3">
      <c r="A4" s="14">
        <v>3</v>
      </c>
      <c r="B4" s="18" t="s">
        <v>1</v>
      </c>
      <c r="C4" s="19">
        <f>IFERROR(IF(HLOOKUP(C$2,'Database Geral'!$B$1:$F$65,'Base de Dados P1'!$A4,FALSE)=0,,HLOOKUP(C$2,'Database Geral'!$B$1:$F$65,'Base de Dados P1'!$A4,FALSE)),"")</f>
        <v>0.241390004754066</v>
      </c>
      <c r="D4" s="31">
        <f>IFERROR(IF(HLOOKUP(D$2,'Database Geral'!$B$1:$F$65,'Base de Dados P1'!$A4,FALSE)=0,,HLOOKUP(D$2,'Database Geral'!$B$1:$F$65,'Base de Dados P1'!$A4,FALSE)),"")</f>
        <v>29.758868775312614</v>
      </c>
      <c r="E4" s="31">
        <f>IFERROR(IF(HLOOKUP(E$2,'Database Geral'!$B$1:$F$65,'Base de Dados P1'!$A4,FALSE)=0,,HLOOKUP(E$2,'Database Geral'!$B$1:$F$65,'Base de Dados P1'!$A4,FALSE)),"")</f>
        <v>12.400510000000001</v>
      </c>
      <c r="F4" s="20">
        <f>IFERROR(IF(HLOOKUP(F$2,'Database Geral'!$B$1:$F$65,'Base de Dados P1'!$A4,FALSE)=0,,HLOOKUP(F$2,'Database Geral'!$B$1:$F$65,'Base de Dados P1'!$A4,FALSE)),"")</f>
        <v>2.1999999991457031</v>
      </c>
      <c r="H4" s="39">
        <f>'Database Geral'!G3</f>
        <v>2963243</v>
      </c>
      <c r="J4" s="183"/>
      <c r="K4" s="184"/>
      <c r="L4" s="179" t="s">
        <v>80</v>
      </c>
      <c r="M4" s="179"/>
      <c r="N4" s="179"/>
      <c r="O4" s="179"/>
      <c r="P4" s="179"/>
      <c r="Q4" s="179"/>
      <c r="R4" s="179"/>
      <c r="S4" s="179"/>
      <c r="T4" s="179"/>
      <c r="U4" s="180"/>
    </row>
    <row r="5" spans="1:21" ht="15" customHeight="1" x14ac:dyDescent="0.25">
      <c r="A5" s="14">
        <v>4</v>
      </c>
      <c r="B5" s="18" t="s">
        <v>2</v>
      </c>
      <c r="C5" s="19">
        <f>IFERROR(IF(HLOOKUP(C$2,'Database Geral'!$B$1:$F$65,'Base de Dados P1'!$A5,FALSE)=0,,HLOOKUP(C$2,'Database Geral'!$B$1:$F$65,'Base de Dados P1'!$A5,FALSE)),"")</f>
        <v>2.3856201171875</v>
      </c>
      <c r="D5" s="31">
        <f>IFERROR(IF(HLOOKUP(D$2,'Database Geral'!$B$1:$F$65,'Base de Dados P1'!$A5,FALSE)=0,,HLOOKUP(D$2,'Database Geral'!$B$1:$F$65,'Base de Dados P1'!$A5,FALSE)),"")</f>
        <v>28.01903301305062</v>
      </c>
      <c r="E5" s="31">
        <f>IFERROR(IF(HLOOKUP(E$2,'Database Geral'!$B$1:$F$65,'Base de Dados P1'!$A5,FALSE)=0,,HLOOKUP(E$2,'Database Geral'!$B$1:$F$65,'Base de Dados P1'!$A5,FALSE)),"")</f>
        <v>14.3276</v>
      </c>
      <c r="F5" s="20">
        <f>IFERROR(IF(HLOOKUP(F$2,'Database Geral'!$B$1:$F$65,'Base de Dados P1'!$A5,FALSE)=0,,HLOOKUP(F$2,'Database Geral'!$B$1:$F$65,'Base de Dados P1'!$A5,FALSE)),"")</f>
        <v>1.9623661011905114</v>
      </c>
      <c r="H5" s="39">
        <f>'Database Geral'!G4</f>
        <v>25499884</v>
      </c>
      <c r="J5" s="167" t="s">
        <v>94</v>
      </c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9"/>
    </row>
    <row r="6" spans="1:21" ht="15" customHeight="1" x14ac:dyDescent="0.25">
      <c r="A6" s="14">
        <v>5</v>
      </c>
      <c r="B6" s="18" t="s">
        <v>3</v>
      </c>
      <c r="C6" s="19">
        <f>IFERROR(IF(HLOOKUP(C$2,'Database Geral'!$B$1:$F$65,'Base de Dados P1'!$A6,FALSE)=0,,HLOOKUP(C$2,'Database Geral'!$B$1:$F$65,'Base de Dados P1'!$A6,FALSE)),"")</f>
        <v>2.7984600067138699</v>
      </c>
      <c r="D6" s="31">
        <f>IFERROR(IF(HLOOKUP(D$2,'Database Geral'!$B$1:$F$65,'Base de Dados P1'!$A6,FALSE)=0,,HLOOKUP(D$2,'Database Geral'!$B$1:$F$65,'Base de Dados P1'!$A6,FALSE)),"")</f>
        <v>21.881817622344979</v>
      </c>
      <c r="E6" s="31">
        <f>IFERROR(IF(HLOOKUP(E$2,'Database Geral'!$B$1:$F$65,'Base de Dados P1'!$A6,FALSE)=0,,HLOOKUP(E$2,'Database Geral'!$B$1:$F$65,'Base de Dados P1'!$A6,FALSE)),"")</f>
        <v>10.858169999999999</v>
      </c>
      <c r="F6" s="20">
        <f>IFERROR(IF(HLOOKUP(F$2,'Database Geral'!$B$1:$F$65,'Base de Dados P1'!$A6,FALSE)=0,,HLOOKUP(F$2,'Database Geral'!$B$1:$F$65,'Base de Dados P1'!$A6,FALSE)),"")</f>
        <v>1.8801176594148217</v>
      </c>
      <c r="H6" s="39">
        <f>'Database Geral'!G5</f>
        <v>9006398</v>
      </c>
      <c r="J6" s="167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9"/>
    </row>
    <row r="7" spans="1:21" ht="15" customHeight="1" x14ac:dyDescent="0.25">
      <c r="A7" s="14">
        <v>6</v>
      </c>
      <c r="B7" s="18" t="s">
        <v>4</v>
      </c>
      <c r="C7" s="19">
        <f>IFERROR(IF(HLOOKUP(C$2,'Database Geral'!$B$1:$F$65,'Base de Dados P1'!$A7,FALSE)=0,,HLOOKUP(C$2,'Database Geral'!$B$1:$F$65,'Base de Dados P1'!$A7,FALSE)),"")</f>
        <v>0.21848000586032901</v>
      </c>
      <c r="D7" s="31">
        <f>IFERROR(IF(HLOOKUP(D$2,'Database Geral'!$B$1:$F$65,'Base de Dados P1'!$A7,FALSE)=0,,HLOOKUP(D$2,'Database Geral'!$B$1:$F$65,'Base de Dados P1'!$A7,FALSE)),"")</f>
        <v>31.791289790537842</v>
      </c>
      <c r="E7" s="31">
        <f>IFERROR(IF(HLOOKUP(E$2,'Database Geral'!$B$1:$F$65,'Base de Dados P1'!$A7,FALSE)=0,,HLOOKUP(E$2,'Database Geral'!$B$1:$F$65,'Base de Dados P1'!$A7,FALSE)),"")</f>
        <v>8.7791099999999993</v>
      </c>
      <c r="F7" s="20">
        <f>IFERROR(IF(HLOOKUP(F$2,'Database Geral'!$B$1:$F$65,'Base de Dados P1'!$A7,FALSE)=0,,HLOOKUP(F$2,'Database Geral'!$B$1:$F$65,'Base de Dados P1'!$A7,FALSE)),"")</f>
        <v>4.8543393238395822</v>
      </c>
      <c r="H7" s="39">
        <f>'Database Geral'!G6</f>
        <v>10139177</v>
      </c>
      <c r="J7" s="167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9"/>
    </row>
    <row r="8" spans="1:21" ht="15" customHeight="1" x14ac:dyDescent="0.25">
      <c r="A8" s="14">
        <v>7</v>
      </c>
      <c r="B8" s="18" t="s">
        <v>5</v>
      </c>
      <c r="C8" s="19">
        <f>IFERROR(IF(HLOOKUP(C$2,'Database Geral'!$B$1:$F$65,'Base de Dados P1'!$A8,FALSE)=0,,HLOOKUP(C$2,'Database Geral'!$B$1:$F$65,'Base de Dados P1'!$A8,FALSE)),"")</f>
        <v>0.69349998235702504</v>
      </c>
      <c r="D8" s="31">
        <f>IFERROR(IF(HLOOKUP(D$2,'Database Geral'!$B$1:$F$65,'Base de Dados P1'!$A8,FALSE)=0,,HLOOKUP(D$2,'Database Geral'!$B$1:$F$65,'Base de Dados P1'!$A8,FALSE)),"")</f>
        <v>20.852178591786398</v>
      </c>
      <c r="E8" s="31">
        <f>IFERROR(IF(HLOOKUP(E$2,'Database Geral'!$B$1:$F$65,'Base de Dados P1'!$A8,FALSE)=0,,HLOOKUP(E$2,'Database Geral'!$B$1:$F$65,'Base de Dados P1'!$A8,FALSE)),"")</f>
        <v>12.86463</v>
      </c>
      <c r="F8" s="20">
        <f>IFERROR(IF(HLOOKUP(F$2,'Database Geral'!$B$1:$F$65,'Base de Dados P1'!$A8,FALSE)=0,,HLOOKUP(F$2,'Database Geral'!$B$1:$F$65,'Base de Dados P1'!$A8,FALSE)),"")</f>
        <v>7.7407812155639846</v>
      </c>
      <c r="H8" s="39">
        <f>'Database Geral'!G7</f>
        <v>9449323</v>
      </c>
      <c r="J8" s="167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9"/>
    </row>
    <row r="9" spans="1:21" ht="15" customHeight="1" x14ac:dyDescent="0.25">
      <c r="A9" s="14">
        <v>8</v>
      </c>
      <c r="B9" s="18" t="s">
        <v>6</v>
      </c>
      <c r="C9" s="19">
        <f>IFERROR(IF(HLOOKUP(C$2,'Database Geral'!$B$1:$F$65,'Base de Dados P1'!$A9,FALSE)=0,,HLOOKUP(C$2,'Database Geral'!$B$1:$F$65,'Base de Dados P1'!$A9,FALSE)),"")</f>
        <v>2.10477995872498</v>
      </c>
      <c r="D9" s="31">
        <f>IFERROR(IF(HLOOKUP(D$2,'Database Geral'!$B$1:$F$65,'Base de Dados P1'!$A9,FALSE)=0,,HLOOKUP(D$2,'Database Geral'!$B$1:$F$65,'Base de Dados P1'!$A9,FALSE)),"")</f>
        <v>25.395925900409388</v>
      </c>
      <c r="E9" s="31">
        <f>IFERROR(IF(HLOOKUP(E$2,'Database Geral'!$B$1:$F$65,'Base de Dados P1'!$A9,FALSE)=0,,HLOOKUP(E$2,'Database Geral'!$B$1:$F$65,'Base de Dados P1'!$A9,FALSE)),"")</f>
        <v>12.223739999999999</v>
      </c>
      <c r="F9" s="20">
        <f>IFERROR(IF(HLOOKUP(F$2,'Database Geral'!$B$1:$F$65,'Base de Dados P1'!$A9,FALSE)=0,,HLOOKUP(F$2,'Database Geral'!$B$1:$F$65,'Base de Dados P1'!$A9,FALSE)),"")</f>
        <v>2.5010545665515025</v>
      </c>
      <c r="H9" s="39">
        <f>'Database Geral'!G8</f>
        <v>11589623</v>
      </c>
      <c r="J9" s="167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9"/>
    </row>
    <row r="10" spans="1:21" ht="15" customHeight="1" x14ac:dyDescent="0.25">
      <c r="A10" s="14">
        <v>9</v>
      </c>
      <c r="B10" s="18" t="s">
        <v>7</v>
      </c>
      <c r="C10" s="19">
        <f>IFERROR(IF(HLOOKUP(C$2,'Database Geral'!$B$1:$F$65,'Base de Dados P1'!$A10,FALSE)=0,,HLOOKUP(C$2,'Database Geral'!$B$1:$F$65,'Base de Dados P1'!$A10,FALSE)),"")</f>
        <v>1.1604199409484901</v>
      </c>
      <c r="D10" s="31">
        <f>IFERROR(IF(HLOOKUP(D$2,'Database Geral'!$B$1:$F$65,'Base de Dados P1'!$A10,FALSE)=0,,HLOOKUP(D$2,'Database Geral'!$B$1:$F$65,'Base de Dados P1'!$A10,FALSE)),"")</f>
        <v>37.709678185702835</v>
      </c>
      <c r="E10" s="31">
        <f>IFERROR(IF(HLOOKUP(E$2,'Database Geral'!$B$1:$F$65,'Base de Dados P1'!$A10,FALSE)=0,,HLOOKUP(E$2,'Database Geral'!$B$1:$F$65,'Base de Dados P1'!$A10,FALSE)),"")</f>
        <v>14.559889999999999</v>
      </c>
      <c r="F10" s="20">
        <f>IFERROR(IF(HLOOKUP(F$2,'Database Geral'!$B$1:$F$65,'Base de Dados P1'!$A10,FALSE)=0,,HLOOKUP(F$2,'Database Geral'!$B$1:$F$65,'Base de Dados P1'!$A10,FALSE)),"")</f>
        <v>7.5720671552290071</v>
      </c>
      <c r="H10" s="39">
        <f>'Database Geral'!G9</f>
        <v>212559417</v>
      </c>
      <c r="J10" s="167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9"/>
    </row>
    <row r="11" spans="1:21" ht="15" customHeight="1" x14ac:dyDescent="0.25">
      <c r="A11" s="14">
        <v>10</v>
      </c>
      <c r="B11" s="18" t="s">
        <v>8</v>
      </c>
      <c r="C11" s="19">
        <f>IFERROR(IF(HLOOKUP(C$2,'Database Geral'!$B$1:$F$65,'Base de Dados P1'!$A11,FALSE)=0,,HLOOKUP(C$2,'Database Geral'!$B$1:$F$65,'Base de Dados P1'!$A11,FALSE)),"")</f>
        <v>0.59794002771377597</v>
      </c>
      <c r="D11" s="31">
        <f>IFERROR(IF(HLOOKUP(D$2,'Database Geral'!$B$1:$F$65,'Base de Dados P1'!$A11,FALSE)=0,,HLOOKUP(D$2,'Database Geral'!$B$1:$F$65,'Base de Dados P1'!$A11,FALSE)),"")</f>
        <v>19.485786470116324</v>
      </c>
      <c r="E11" s="31">
        <f>IFERROR(IF(HLOOKUP(E$2,'Database Geral'!$B$1:$F$65,'Base de Dados P1'!$A11,FALSE)=0,,HLOOKUP(E$2,'Database Geral'!$B$1:$F$65,'Base de Dados P1'!$A11,FALSE)),"")</f>
        <v>11.16342</v>
      </c>
      <c r="F11" s="20">
        <f>IFERROR(IF(HLOOKUP(F$2,'Database Geral'!$B$1:$F$65,'Base de Dados P1'!$A11,FALSE)=0,,HLOOKUP(F$2,'Database Geral'!$B$1:$F$65,'Base de Dados P1'!$A11,FALSE)),"")</f>
        <v>0.65532511235480229</v>
      </c>
      <c r="H11" s="39">
        <f>'Database Geral'!G10</f>
        <v>6948445</v>
      </c>
      <c r="J11" s="167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9"/>
    </row>
    <row r="12" spans="1:21" ht="15" customHeight="1" thickBot="1" x14ac:dyDescent="0.3">
      <c r="A12" s="14">
        <v>11</v>
      </c>
      <c r="B12" s="18" t="s">
        <v>9</v>
      </c>
      <c r="C12" s="19">
        <f>IFERROR(IF(HLOOKUP(C$2,'Database Geral'!$B$1:$F$65,'Base de Dados P1'!$A12,FALSE)=0,,HLOOKUP(C$2,'Database Geral'!$B$1:$F$65,'Base de Dados P1'!$A12,FALSE)),"")</f>
        <v>0.13754999637603799</v>
      </c>
      <c r="D12" s="31">
        <f>IFERROR(IF(HLOOKUP(D$2,'Database Geral'!$B$1:$F$65,'Base de Dados P1'!$A12,FALSE)=0,,HLOOKUP(D$2,'Database Geral'!$B$1:$F$65,'Base de Dados P1'!$A12,FALSE)),"")</f>
        <v>82.053945056425576</v>
      </c>
      <c r="E12" s="31">
        <f>IFERROR(IF(HLOOKUP(E$2,'Database Geral'!$B$1:$F$65,'Base de Dados P1'!$A12,FALSE)=0,,HLOOKUP(E$2,'Database Geral'!$B$1:$F$65,'Base de Dados P1'!$A12,FALSE)),"")</f>
        <v>16.588100000000001</v>
      </c>
      <c r="F12" s="20">
        <f>IFERROR(IF(HLOOKUP(F$2,'Database Geral'!$B$1:$F$65,'Base de Dados P1'!$A12,FALSE)=0,,HLOOKUP(F$2,'Database Geral'!$B$1:$F$65,'Base de Dados P1'!$A12,FALSE)),"")</f>
        <v>3.7859025431217219</v>
      </c>
      <c r="H12" s="39">
        <f>'Database Geral'!G11</f>
        <v>11890784</v>
      </c>
      <c r="J12" s="170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2"/>
    </row>
    <row r="13" spans="1:21" ht="15" customHeight="1" x14ac:dyDescent="0.25">
      <c r="A13" s="14">
        <v>12</v>
      </c>
      <c r="B13" s="18" t="s">
        <v>10</v>
      </c>
      <c r="C13" s="19">
        <f>IFERROR(IF(HLOOKUP(C$2,'Database Geral'!$B$1:$F$65,'Base de Dados P1'!$A13,FALSE)=0,,HLOOKUP(C$2,'Database Geral'!$B$1:$F$65,'Base de Dados P1'!$A13,FALSE)),"")</f>
        <v>1.8600800037384</v>
      </c>
      <c r="D13" s="31">
        <f>IFERROR(IF(HLOOKUP(D$2,'Database Geral'!$B$1:$F$65,'Base de Dados P1'!$A13,FALSE)=0,,HLOOKUP(D$2,'Database Geral'!$B$1:$F$65,'Base de Dados P1'!$A13,FALSE)),"")</f>
        <v>23.74405539363396</v>
      </c>
      <c r="E13" s="31">
        <f>IFERROR(IF(HLOOKUP(E$2,'Database Geral'!$B$1:$F$65,'Base de Dados P1'!$A13,FALSE)=0,,HLOOKUP(E$2,'Database Geral'!$B$1:$F$65,'Base de Dados P1'!$A13,FALSE)),"")</f>
        <v>12.387890000000001</v>
      </c>
      <c r="F13" s="20">
        <f>IFERROR(IF(HLOOKUP(F$2,'Database Geral'!$B$1:$F$65,'Base de Dados P1'!$A13,FALSE)=0,,HLOOKUP(F$2,'Database Geral'!$B$1:$F$65,'Base de Dados P1'!$A13,FALSE)),"")</f>
        <v>3.3742485547244172</v>
      </c>
      <c r="H13" s="39">
        <f>'Database Geral'!G12</f>
        <v>37742154</v>
      </c>
    </row>
    <row r="14" spans="1:21" ht="15" customHeight="1" x14ac:dyDescent="0.25">
      <c r="A14" s="14">
        <v>13</v>
      </c>
      <c r="B14" s="18" t="s">
        <v>11</v>
      </c>
      <c r="C14" s="19">
        <f>IFERROR(IF(HLOOKUP(C$2,'Database Geral'!$B$1:$F$65,'Base de Dados P1'!$A14,FALSE)=0,,HLOOKUP(C$2,'Database Geral'!$B$1:$F$65,'Base de Dados P1'!$A14,FALSE)),"")</f>
        <v>0.41721999645233199</v>
      </c>
      <c r="D14" s="31">
        <f>IFERROR(IF(HLOOKUP(D$2,'Database Geral'!$B$1:$F$65,'Base de Dados P1'!$A14,FALSE)=0,,HLOOKUP(D$2,'Database Geral'!$B$1:$F$65,'Base de Dados P1'!$A14,FALSE)),"")</f>
        <v>32.237807714903774</v>
      </c>
      <c r="E14" s="31">
        <f>IFERROR(IF(HLOOKUP(E$2,'Database Geral'!$B$1:$F$65,'Base de Dados P1'!$A14,FALSE)=0,,HLOOKUP(E$2,'Database Geral'!$B$1:$F$65,'Base de Dados P1'!$A14,FALSE)),"")</f>
        <v>17.514019999999999</v>
      </c>
      <c r="F14" s="20">
        <f>IFERROR(IF(HLOOKUP(F$2,'Database Geral'!$B$1:$F$65,'Base de Dados P1'!$A14,FALSE)=0,,HLOOKUP(F$2,'Database Geral'!$B$1:$F$65,'Base de Dados P1'!$A14,FALSE)),"")</f>
        <v>5.753708903146304</v>
      </c>
      <c r="H14" s="39">
        <f>'Database Geral'!G13</f>
        <v>19116201</v>
      </c>
      <c r="J14" s="21" t="s">
        <v>74</v>
      </c>
    </row>
    <row r="15" spans="1:21" ht="15" customHeight="1" x14ac:dyDescent="0.25">
      <c r="A15" s="14">
        <v>14</v>
      </c>
      <c r="B15" s="18" t="s">
        <v>12</v>
      </c>
      <c r="C15" s="19">
        <f>IFERROR(IF(HLOOKUP(C$2,'Database Geral'!$B$1:$F$65,'Base de Dados P1'!$A15,FALSE)=0,,HLOOKUP(C$2,'Database Geral'!$B$1:$F$65,'Base de Dados P1'!$A15,FALSE)),"")</f>
        <v>0.1805399954319</v>
      </c>
      <c r="D15" s="31">
        <f>IFERROR(IF(HLOOKUP(D$2,'Database Geral'!$B$1:$F$65,'Base de Dados P1'!$A15,FALSE)=0,,HLOOKUP(D$2,'Database Geral'!$B$1:$F$65,'Base de Dados P1'!$A15,FALSE)),"")</f>
        <v>43.82746238643881</v>
      </c>
      <c r="E15" s="31">
        <f>IFERROR(IF(HLOOKUP(E$2,'Database Geral'!$B$1:$F$65,'Base de Dados P1'!$A15,FALSE)=0,,HLOOKUP(E$2,'Database Geral'!$B$1:$F$65,'Base de Dados P1'!$A15,FALSE)),"")</f>
        <v>16.418579999999999</v>
      </c>
      <c r="F15" s="20">
        <f>IFERROR(IF(HLOOKUP(F$2,'Database Geral'!$B$1:$F$65,'Base de Dados P1'!$A15,FALSE)=0,,HLOOKUP(F$2,'Database Geral'!$B$1:$F$65,'Base de Dados P1'!$A15,FALSE)),"")</f>
        <v>3.9718007047375039</v>
      </c>
      <c r="H15" s="39">
        <f>'Database Geral'!G14</f>
        <v>50882891</v>
      </c>
      <c r="J15" s="22" t="s">
        <v>85</v>
      </c>
    </row>
    <row r="16" spans="1:21" ht="15" customHeight="1" x14ac:dyDescent="0.25">
      <c r="A16" s="14">
        <v>15</v>
      </c>
      <c r="B16" s="18" t="s">
        <v>13</v>
      </c>
      <c r="C16" s="19">
        <f>IFERROR(IF(HLOOKUP(C$2,'Database Geral'!$B$1:$F$65,'Base de Dados P1'!$A16,FALSE)=0,,HLOOKUP(C$2,'Database Geral'!$B$1:$F$65,'Base de Dados P1'!$A16,FALSE)),"")</f>
        <v>0.75442999601364102</v>
      </c>
      <c r="D16" s="31">
        <f>IFERROR(IF(HLOOKUP(D$2,'Database Geral'!$B$1:$F$65,'Base de Dados P1'!$A16,FALSE)=0,,HLOOKUP(D$2,'Database Geral'!$B$1:$F$65,'Base de Dados P1'!$A16,FALSE)),"")</f>
        <v>22.775894382471584</v>
      </c>
      <c r="E16" s="31">
        <f>IFERROR(IF(HLOOKUP(E$2,'Database Geral'!$B$1:$F$65,'Base de Dados P1'!$A16,FALSE)=0,,HLOOKUP(E$2,'Database Geral'!$B$1:$F$65,'Base de Dados P1'!$A16,FALSE)),"")</f>
        <v>9.0825899999999997</v>
      </c>
      <c r="F16" s="20">
        <f>IFERROR(IF(HLOOKUP(F$2,'Database Geral'!$B$1:$F$65,'Base de Dados P1'!$A16,FALSE)=0,,HLOOKUP(F$2,'Database Geral'!$B$1:$F$65,'Base de Dados P1'!$A16,FALSE)),"")</f>
        <v>-1.7011368880312006</v>
      </c>
      <c r="H16" s="39">
        <f>'Database Geral'!G15</f>
        <v>4105267</v>
      </c>
      <c r="J16" s="22" t="s">
        <v>86</v>
      </c>
    </row>
    <row r="17" spans="1:21" ht="15" customHeight="1" x14ac:dyDescent="0.25">
      <c r="A17" s="14">
        <v>16</v>
      </c>
      <c r="B17" s="18" t="s">
        <v>14</v>
      </c>
      <c r="C17" s="19">
        <f>IFERROR(IF(HLOOKUP(C$2,'Database Geral'!$B$1:$F$65,'Base de Dados P1'!$A17,FALSE)=0,,HLOOKUP(C$2,'Database Geral'!$B$1:$F$65,'Base de Dados P1'!$A17,FALSE)),"")</f>
        <v>0.49355000257492099</v>
      </c>
      <c r="D17" s="31">
        <f>IFERROR(IF(HLOOKUP(D$2,'Database Geral'!$B$1:$F$65,'Base de Dados P1'!$A17,FALSE)=0,,HLOOKUP(D$2,'Database Geral'!$B$1:$F$65,'Base de Dados P1'!$A17,FALSE)),"")</f>
        <v>25.145562973857004</v>
      </c>
      <c r="E17" s="31">
        <f>IFERROR(IF(HLOOKUP(E$2,'Database Geral'!$B$1:$F$65,'Base de Dados P1'!$A17,FALSE)=0,,HLOOKUP(E$2,'Database Geral'!$B$1:$F$65,'Base de Dados P1'!$A17,FALSE)),"")</f>
        <v>15.68234</v>
      </c>
      <c r="F17" s="20">
        <f>IFERROR(IF(HLOOKUP(F$2,'Database Geral'!$B$1:$F$65,'Base de Dados P1'!$A17,FALSE)=0,,HLOOKUP(F$2,'Database Geral'!$B$1:$F$65,'Base de Dados P1'!$A17,FALSE)),"")</f>
        <v>1.3906440575121479</v>
      </c>
      <c r="H17" s="39">
        <f>'Database Geral'!G16</f>
        <v>1207359</v>
      </c>
      <c r="J17" s="22" t="s">
        <v>87</v>
      </c>
    </row>
    <row r="18" spans="1:21" ht="15" customHeight="1" x14ac:dyDescent="0.25">
      <c r="A18" s="14">
        <v>17</v>
      </c>
      <c r="B18" s="18" t="s">
        <v>15</v>
      </c>
      <c r="C18" s="19">
        <f>IFERROR(IF(HLOOKUP(C$2,'Database Geral'!$B$1:$F$65,'Base de Dados P1'!$A18,FALSE)=0,,HLOOKUP(C$2,'Database Geral'!$B$1:$F$65,'Base de Dados P1'!$A18,FALSE)),"")</f>
        <v>1.39740002155304</v>
      </c>
      <c r="D18" s="31">
        <f>IFERROR(IF(HLOOKUP(D$2,'Database Geral'!$B$1:$F$65,'Base de Dados P1'!$A18,FALSE)=0,,HLOOKUP(D$2,'Database Geral'!$B$1:$F$65,'Base de Dados P1'!$A18,FALSE)),"")</f>
        <v>20.151363637780804</v>
      </c>
      <c r="E18" s="31">
        <f>IFERROR(IF(HLOOKUP(E$2,'Database Geral'!$B$1:$F$65,'Base de Dados P1'!$A18,FALSE)=0,,HLOOKUP(E$2,'Database Geral'!$B$1:$F$65,'Base de Dados P1'!$A18,FALSE)),"")</f>
        <v>9.7125000000000004</v>
      </c>
      <c r="F18" s="20">
        <f>IFERROR(IF(HLOOKUP(F$2,'Database Geral'!$B$1:$F$65,'Base de Dados P1'!$A18,FALSE)=0,,HLOOKUP(F$2,'Database Geral'!$B$1:$F$65,'Base de Dados P1'!$A18,FALSE)),"")</f>
        <v>2.2950891154049202</v>
      </c>
      <c r="H18" s="39">
        <f>'Database Geral'!G17</f>
        <v>10708981</v>
      </c>
      <c r="J18" s="22" t="s">
        <v>88</v>
      </c>
    </row>
    <row r="19" spans="1:21" ht="15" customHeight="1" x14ac:dyDescent="0.25">
      <c r="A19" s="14">
        <v>18</v>
      </c>
      <c r="B19" s="18" t="s">
        <v>16</v>
      </c>
      <c r="C19" s="19">
        <f>IFERROR(IF(HLOOKUP(C$2,'Database Geral'!$B$1:$F$65,'Base de Dados P1'!$A19,FALSE)=0,,HLOOKUP(C$2,'Database Geral'!$B$1:$F$65,'Base de Dados P1'!$A19,FALSE)),"")</f>
        <v>3.0013799667358398</v>
      </c>
      <c r="D19" s="31">
        <f>IFERROR(IF(HLOOKUP(D$2,'Database Geral'!$B$1:$F$65,'Base de Dados P1'!$A19,FALSE)=0,,HLOOKUP(D$2,'Database Geral'!$B$1:$F$65,'Base de Dados P1'!$A19,FALSE)),"")</f>
        <v>27.475772833313616</v>
      </c>
      <c r="E19" s="31">
        <f>IFERROR(IF(HLOOKUP(E$2,'Database Geral'!$B$1:$F$65,'Base de Dados P1'!$A19,FALSE)=0,,HLOOKUP(E$2,'Database Geral'!$B$1:$F$65,'Base de Dados P1'!$A19,FALSE)),"")</f>
        <v>15.103339999999999</v>
      </c>
      <c r="F19" s="20">
        <f>IFERROR(IF(HLOOKUP(F$2,'Database Geral'!$B$1:$F$65,'Base de Dados P1'!$A19,FALSE)=0,,HLOOKUP(F$2,'Database Geral'!$B$1:$F$65,'Base de Dados P1'!$A19,FALSE)),"")</f>
        <v>1.6251358849883815</v>
      </c>
      <c r="H19" s="39">
        <f>'Database Geral'!G18</f>
        <v>5792202</v>
      </c>
      <c r="J19" s="22" t="s">
        <v>89</v>
      </c>
    </row>
    <row r="20" spans="1:21" ht="15" customHeight="1" x14ac:dyDescent="0.25">
      <c r="A20" s="14">
        <v>19</v>
      </c>
      <c r="B20" s="18" t="s">
        <v>17</v>
      </c>
      <c r="C20" s="19">
        <f>IFERROR(IF(HLOOKUP(C$2,'Database Geral'!$B$1:$F$65,'Base de Dados P1'!$A20,FALSE)=0,,HLOOKUP(C$2,'Database Geral'!$B$1:$F$65,'Base de Dados P1'!$A20,FALSE)),"")</f>
        <v>6.7230001091957106E-2</v>
      </c>
      <c r="D20" s="31">
        <f>IFERROR(IF(HLOOKUP(D$2,'Database Geral'!$B$1:$F$65,'Base de Dados P1'!$A20,FALSE)=0,,HLOOKUP(D$2,'Database Geral'!$B$1:$F$65,'Base de Dados P1'!$A20,FALSE)),"")</f>
        <v>52.564166062486308</v>
      </c>
      <c r="E20" s="31">
        <f>IFERROR(IF(HLOOKUP(E$2,'Database Geral'!$B$1:$F$65,'Base de Dados P1'!$A20,FALSE)=0,,HLOOKUP(E$2,'Database Geral'!$B$1:$F$65,'Base de Dados P1'!$A20,FALSE)),"")</f>
        <v>16.16422</v>
      </c>
      <c r="F20" s="20">
        <f>IFERROR(IF(HLOOKUP(F$2,'Database Geral'!$B$1:$F$65,'Base de Dados P1'!$A20,FALSE)=0,,HLOOKUP(F$2,'Database Geral'!$B$1:$F$65,'Base de Dados P1'!$A20,FALSE)),"")</f>
        <v>1.3647836672697764</v>
      </c>
      <c r="H20" s="39">
        <f>'Database Geral'!G19</f>
        <v>6486205</v>
      </c>
      <c r="J20" s="22" t="s">
        <v>90</v>
      </c>
    </row>
    <row r="21" spans="1:21" ht="15" customHeight="1" x14ac:dyDescent="0.25">
      <c r="A21" s="14">
        <v>20</v>
      </c>
      <c r="B21" s="18" t="s">
        <v>18</v>
      </c>
      <c r="C21" s="19">
        <f>IFERROR(IF(HLOOKUP(C$2,'Database Geral'!$B$1:$F$65,'Base de Dados P1'!$A21,FALSE)=0,,HLOOKUP(C$2,'Database Geral'!$B$1:$F$65,'Base de Dados P1'!$A21,FALSE)),"")</f>
        <v>1.61963999271393</v>
      </c>
      <c r="D21" s="31">
        <f>IFERROR(IF(HLOOKUP(D$2,'Database Geral'!$B$1:$F$65,'Base de Dados P1'!$A21,FALSE)=0,,HLOOKUP(D$2,'Database Geral'!$B$1:$F$65,'Base de Dados P1'!$A21,FALSE)),"")</f>
        <v>22.944788159347944</v>
      </c>
      <c r="E21" s="31">
        <f>IFERROR(IF(HLOOKUP(E$2,'Database Geral'!$B$1:$F$65,'Base de Dados P1'!$A21,FALSE)=0,,HLOOKUP(E$2,'Database Geral'!$B$1:$F$65,'Base de Dados P1'!$A21,FALSE)),"")</f>
        <v>13.681800000000001</v>
      </c>
      <c r="F21" s="20">
        <f>IFERROR(IF(HLOOKUP(F$2,'Database Geral'!$B$1:$F$65,'Base de Dados P1'!$A21,FALSE)=0,,HLOOKUP(F$2,'Database Geral'!$B$1:$F$65,'Base de Dados P1'!$A21,FALSE)),"")</f>
        <v>2.4758738514106398</v>
      </c>
      <c r="H21" s="39">
        <f>'Database Geral'!G20</f>
        <v>1326535</v>
      </c>
      <c r="J21" s="22" t="s">
        <v>91</v>
      </c>
      <c r="S21" s="162" t="str">
        <f>CONCATENATE("Tire a variável: ",VLOOKUP('Base de Dados P1'!J2,Cruzamento!$A$2:$E$31,5,FALSE))</f>
        <v>Tire a variável: Taxa Crescimento (%)</v>
      </c>
      <c r="T21" s="162"/>
      <c r="U21" s="162"/>
    </row>
    <row r="22" spans="1:21" ht="15" customHeight="1" x14ac:dyDescent="0.25">
      <c r="A22" s="14">
        <v>21</v>
      </c>
      <c r="B22" s="18" t="s">
        <v>19</v>
      </c>
      <c r="C22" s="19">
        <f>IFERROR(IF(HLOOKUP(C$2,'Database Geral'!$B$1:$F$65,'Base de Dados P1'!$A22,FALSE)=0,,HLOOKUP(C$2,'Database Geral'!$B$1:$F$65,'Base de Dados P1'!$A22,FALSE)),"")</f>
        <v>0.24566000699996901</v>
      </c>
      <c r="D22" s="31">
        <f>IFERROR(IF(HLOOKUP(D$2,'Database Geral'!$B$1:$F$65,'Base de Dados P1'!$A22,FALSE)=0,,HLOOKUP(D$2,'Database Geral'!$B$1:$F$65,'Base de Dados P1'!$A22,FALSE)),"")</f>
        <v>85.004237027036027</v>
      </c>
      <c r="E22" s="31">
        <f>IFERROR(IF(HLOOKUP(E$2,'Database Geral'!$B$1:$F$65,'Base de Dados P1'!$A22,FALSE)=0,,HLOOKUP(E$2,'Database Geral'!$B$1:$F$65,'Base de Dados P1'!$A22,FALSE)),"")</f>
        <v>22.035820000000001</v>
      </c>
      <c r="F22" s="20">
        <f>IFERROR(IF(HLOOKUP(F$2,'Database Geral'!$B$1:$F$65,'Base de Dados P1'!$A22,FALSE)=0,,HLOOKUP(F$2,'Database Geral'!$B$1:$F$65,'Base de Dados P1'!$A22,FALSE)),"")</f>
        <v>12.550538328899833</v>
      </c>
      <c r="H22" s="39">
        <f>'Database Geral'!G21</f>
        <v>114963588</v>
      </c>
      <c r="S22" s="162"/>
      <c r="T22" s="162"/>
      <c r="U22" s="162"/>
    </row>
    <row r="23" spans="1:21" ht="15" customHeight="1" x14ac:dyDescent="0.25">
      <c r="A23" s="14">
        <v>22</v>
      </c>
      <c r="B23" s="18" t="s">
        <v>20</v>
      </c>
      <c r="C23" s="19">
        <f>IFERROR(IF(HLOOKUP(C$2,'Database Geral'!$B$1:$F$65,'Base de Dados P1'!$A23,FALSE)=0,,HLOOKUP(C$2,'Database Geral'!$B$1:$F$65,'Base de Dados P1'!$A23,FALSE)),"")</f>
        <v>3.9005999565124498</v>
      </c>
      <c r="D23" s="31">
        <f>IFERROR(IF(HLOOKUP(D$2,'Database Geral'!$B$1:$F$65,'Base de Dados P1'!$A23,FALSE)=0,,HLOOKUP(D$2,'Database Geral'!$B$1:$F$65,'Base de Dados P1'!$A23,FALSE)),"")</f>
        <v>24.874028911397382</v>
      </c>
      <c r="E23" s="31">
        <f>IFERROR(IF(HLOOKUP(E$2,'Database Geral'!$B$1:$F$65,'Base de Dados P1'!$A23,FALSE)=0,,HLOOKUP(E$2,'Database Geral'!$B$1:$F$65,'Base de Dados P1'!$A23,FALSE)),"")</f>
        <v>11.956110000000001</v>
      </c>
      <c r="F23" s="20">
        <f>IFERROR(IF(HLOOKUP(F$2,'Database Geral'!$B$1:$F$65,'Base de Dados P1'!$A23,FALSE)=0,,HLOOKUP(F$2,'Database Geral'!$B$1:$F$65,'Base de Dados P1'!$A23,FALSE)),"")</f>
        <v>2.9923553361053337</v>
      </c>
      <c r="H23" s="39">
        <f>'Database Geral'!G22</f>
        <v>5540720</v>
      </c>
      <c r="J23" s="162" t="s">
        <v>92</v>
      </c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</row>
    <row r="24" spans="1:21" ht="15" customHeight="1" x14ac:dyDescent="0.25">
      <c r="A24" s="14">
        <v>23</v>
      </c>
      <c r="B24" s="18" t="s">
        <v>21</v>
      </c>
      <c r="C24" s="19">
        <f>IFERROR(IF(HLOOKUP(C$2,'Database Geral'!$B$1:$F$65,'Base de Dados P1'!$A24,FALSE)=0,,HLOOKUP(C$2,'Database Geral'!$B$1:$F$65,'Base de Dados P1'!$A24,FALSE)),"")</f>
        <v>2.2444601058960001</v>
      </c>
      <c r="D24" s="31">
        <f>IFERROR(IF(HLOOKUP(D$2,'Database Geral'!$B$1:$F$65,'Base de Dados P1'!$A24,FALSE)=0,,HLOOKUP(D$2,'Database Geral'!$B$1:$F$65,'Base de Dados P1'!$A24,FALSE)),"")</f>
        <v>28.303837482940651</v>
      </c>
      <c r="E24" s="31">
        <f>IFERROR(IF(HLOOKUP(E$2,'Database Geral'!$B$1:$F$65,'Base de Dados P1'!$A24,FALSE)=0,,HLOOKUP(E$2,'Database Geral'!$B$1:$F$65,'Base de Dados P1'!$A24,FALSE)),"")</f>
        <v>10.069129999999999</v>
      </c>
      <c r="F24" s="20">
        <f>IFERROR(IF(HLOOKUP(F$2,'Database Geral'!$B$1:$F$65,'Base de Dados P1'!$A24,FALSE)=0,,HLOOKUP(F$2,'Database Geral'!$B$1:$F$65,'Base de Dados P1'!$A24,FALSE)),"")</f>
        <v>1.9656578188557319</v>
      </c>
      <c r="H24" s="39">
        <f>'Database Geral'!G23</f>
        <v>65273511</v>
      </c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</row>
    <row r="25" spans="1:21" ht="15" customHeight="1" x14ac:dyDescent="0.25">
      <c r="A25" s="14">
        <v>24</v>
      </c>
      <c r="B25" s="18" t="s">
        <v>22</v>
      </c>
      <c r="C25" s="19">
        <f>IFERROR(IF(HLOOKUP(C$2,'Database Geral'!$B$1:$F$65,'Base de Dados P1'!$A25,FALSE)=0,,HLOOKUP(C$2,'Database Geral'!$B$1:$F$65,'Base de Dados P1'!$A25,FALSE)),"")</f>
        <v>2.8035199642181401</v>
      </c>
      <c r="D25" s="31">
        <f>IFERROR(IF(HLOOKUP(D$2,'Database Geral'!$B$1:$F$65,'Base de Dados P1'!$A25,FALSE)=0,,HLOOKUP(D$2,'Database Geral'!$B$1:$F$65,'Base de Dados P1'!$A25,FALSE)),"")</f>
        <v>20.386593257709869</v>
      </c>
      <c r="E25" s="31">
        <f>IFERROR(IF(HLOOKUP(E$2,'Database Geral'!$B$1:$F$65,'Base de Dados P1'!$A25,FALSE)=0,,HLOOKUP(E$2,'Database Geral'!$B$1:$F$65,'Base de Dados P1'!$A25,FALSE)),"")</f>
        <v>10.616580000000001</v>
      </c>
      <c r="F25" s="20">
        <f>IFERROR(IF(HLOOKUP(F$2,'Database Geral'!$B$1:$F$65,'Base de Dados P1'!$A25,FALSE)=0,,HLOOKUP(F$2,'Database Geral'!$B$1:$F$65,'Base de Dados P1'!$A25,FALSE)),"")</f>
        <v>4.0907695122806729</v>
      </c>
      <c r="H25" s="39">
        <f>'Database Geral'!G24</f>
        <v>83783942</v>
      </c>
      <c r="J25" s="22" t="s">
        <v>84</v>
      </c>
    </row>
    <row r="26" spans="1:21" ht="15" customHeight="1" x14ac:dyDescent="0.25">
      <c r="A26" s="14">
        <v>25</v>
      </c>
      <c r="B26" s="18" t="s">
        <v>23</v>
      </c>
      <c r="C26" s="19">
        <f>IFERROR(IF(HLOOKUP(C$2,'Database Geral'!$B$1:$F$65,'Base de Dados P1'!$A26,FALSE)=0,,HLOOKUP(C$2,'Database Geral'!$B$1:$F$65,'Base de Dados P1'!$A26,FALSE)),"")</f>
        <v>0.37654998898506198</v>
      </c>
      <c r="D26" s="31">
        <f>IFERROR(IF(HLOOKUP(D$2,'Database Geral'!$B$1:$F$65,'Base de Dados P1'!$A26,FALSE)=0,,HLOOKUP(D$2,'Database Geral'!$B$1:$F$65,'Base de Dados P1'!$A26,FALSE)),"")</f>
        <v>67.750719621685832</v>
      </c>
      <c r="E26" s="31">
        <f>IFERROR(IF(HLOOKUP(E$2,'Database Geral'!$B$1:$F$65,'Base de Dados P1'!$A26,FALSE)=0,,HLOOKUP(E$2,'Database Geral'!$B$1:$F$65,'Base de Dados P1'!$A26,FALSE)),"")</f>
        <v>21.244219999999999</v>
      </c>
      <c r="F26" s="20">
        <f>IFERROR(IF(HLOOKUP(F$2,'Database Geral'!$B$1:$F$65,'Base de Dados P1'!$A26,FALSE)=0,,HLOOKUP(F$2,'Database Geral'!$B$1:$F$65,'Base de Dados P1'!$A26,FALSE)),"")</f>
        <v>7.8997402926816847</v>
      </c>
      <c r="H26" s="39">
        <f>'Database Geral'!G25</f>
        <v>31072940</v>
      </c>
      <c r="J26" s="22" t="s">
        <v>81</v>
      </c>
    </row>
    <row r="27" spans="1:21" ht="15" customHeight="1" x14ac:dyDescent="0.25">
      <c r="A27" s="14">
        <v>26</v>
      </c>
      <c r="B27" s="18" t="s">
        <v>24</v>
      </c>
      <c r="C27" s="19">
        <f>IFERROR(IF(HLOOKUP(C$2,'Database Geral'!$B$1:$F$65,'Base de Dados P1'!$A27,FALSE)=0,,HLOOKUP(C$2,'Database Geral'!$B$1:$F$65,'Base de Dados P1'!$A27,FALSE)),"")</f>
        <v>4.3499998748302501E-2</v>
      </c>
      <c r="D27" s="31">
        <f>IFERROR(IF(HLOOKUP(D$2,'Database Geral'!$B$1:$F$65,'Base de Dados P1'!$A27,FALSE)=0,,HLOOKUP(D$2,'Database Geral'!$B$1:$F$65,'Base de Dados P1'!$A27,FALSE)),"")</f>
        <v>76.807399855746468</v>
      </c>
      <c r="E27" s="31">
        <f>IFERROR(IF(HLOOKUP(E$2,'Database Geral'!$B$1:$F$65,'Base de Dados P1'!$A27,FALSE)=0,,HLOOKUP(E$2,'Database Geral'!$B$1:$F$65,'Base de Dados P1'!$A27,FALSE)),"")</f>
        <v>19.29692</v>
      </c>
      <c r="F27" s="20">
        <f>IFERROR(IF(HLOOKUP(F$2,'Database Geral'!$B$1:$F$65,'Base de Dados P1'!$A27,FALSE)=0,,HLOOKUP(F$2,'Database Geral'!$B$1:$F$65,'Base de Dados P1'!$A27,FALSE)),"")</f>
        <v>2.8693723892527601</v>
      </c>
      <c r="H27" s="39">
        <f>'Database Geral'!G26</f>
        <v>17915568</v>
      </c>
      <c r="J27" s="22" t="s">
        <v>82</v>
      </c>
    </row>
    <row r="28" spans="1:21" ht="15" customHeight="1" x14ac:dyDescent="0.25">
      <c r="A28" s="14">
        <v>27</v>
      </c>
      <c r="B28" s="18" t="s">
        <v>75</v>
      </c>
      <c r="C28" s="19">
        <f>IFERROR(IF(HLOOKUP(C$2,'Database Geral'!$B$1:$F$65,'Base de Dados P1'!$A28,FALSE)=0,,HLOOKUP(C$2,'Database Geral'!$B$1:$F$65,'Base de Dados P1'!$A28,FALSE)),"")</f>
        <v>0.74927002191543601</v>
      </c>
      <c r="D28" s="31">
        <f>IFERROR(IF(HLOOKUP(D$2,'Database Geral'!$B$1:$F$65,'Base de Dados P1'!$A28,FALSE)=0,,HLOOKUP(D$2,'Database Geral'!$B$1:$F$65,'Base de Dados P1'!$A28,FALSE)),"")</f>
        <v>16.200772379695994</v>
      </c>
      <c r="E28" s="31">
        <f>IFERROR(IF(HLOOKUP(E$2,'Database Geral'!$B$1:$F$65,'Base de Dados P1'!$A28,FALSE)=0,,HLOOKUP(E$2,'Database Geral'!$B$1:$F$65,'Base de Dados P1'!$A28,FALSE)),"")</f>
        <v>19.909549999999999</v>
      </c>
      <c r="F28" s="20">
        <f>IFERROR(IF(HLOOKUP(F$2,'Database Geral'!$B$1:$F$65,'Base de Dados P1'!$A28,FALSE)=0,,HLOOKUP(F$2,'Database Geral'!$B$1:$F$65,'Base de Dados P1'!$A28,FALSE)),"")</f>
        <v>6.7676105587932938</v>
      </c>
      <c r="H28" s="39">
        <f>'Database Geral'!G27</f>
        <v>7496981</v>
      </c>
      <c r="J28" s="42" t="s">
        <v>95</v>
      </c>
    </row>
    <row r="29" spans="1:21" ht="15" customHeight="1" x14ac:dyDescent="0.25">
      <c r="A29" s="14">
        <v>28</v>
      </c>
      <c r="B29" s="18" t="s">
        <v>26</v>
      </c>
      <c r="C29" s="19">
        <f>IFERROR(IF(HLOOKUP(C$2,'Database Geral'!$B$1:$F$65,'Base de Dados P1'!$A29,FALSE)=0,,HLOOKUP(C$2,'Database Geral'!$B$1:$F$65,'Base de Dados P1'!$A29,FALSE)),"")</f>
        <v>1.1700299978256199</v>
      </c>
      <c r="D29" s="31">
        <f>IFERROR(IF(HLOOKUP(D$2,'Database Geral'!$B$1:$F$65,'Base de Dados P1'!$A29,FALSE)=0,,HLOOKUP(D$2,'Database Geral'!$B$1:$F$65,'Base de Dados P1'!$A29,FALSE)),"")</f>
        <v>21.336266525980655</v>
      </c>
      <c r="E29" s="31">
        <f>IFERROR(IF(HLOOKUP(E$2,'Database Geral'!$B$1:$F$65,'Base de Dados P1'!$A29,FALSE)=0,,HLOOKUP(E$2,'Database Geral'!$B$1:$F$65,'Base de Dados P1'!$A29,FALSE)),"")</f>
        <v>9.6849799999999995</v>
      </c>
      <c r="F29" s="20">
        <f>IFERROR(IF(HLOOKUP(F$2,'Database Geral'!$B$1:$F$65,'Base de Dados P1'!$A29,FALSE)=0,,HLOOKUP(F$2,'Database Geral'!$B$1:$F$65,'Base de Dados P1'!$A29,FALSE)),"")</f>
        <v>0.7891168795250536</v>
      </c>
      <c r="H29" s="39">
        <f>'Database Geral'!G28</f>
        <v>9660351</v>
      </c>
      <c r="J29" s="22"/>
    </row>
    <row r="30" spans="1:21" ht="15" customHeight="1" x14ac:dyDescent="0.25">
      <c r="A30" s="14">
        <v>29</v>
      </c>
      <c r="B30" s="18" t="s">
        <v>27</v>
      </c>
      <c r="C30" s="19">
        <f>IFERROR(IF(HLOOKUP(C$2,'Database Geral'!$B$1:$F$65,'Base de Dados P1'!$A30,FALSE)=0,,HLOOKUP(C$2,'Database Geral'!$B$1:$F$65,'Base de Dados P1'!$A30,FALSE)),"")</f>
        <v>0.79717999696731601</v>
      </c>
      <c r="D30" s="31">
        <f>IFERROR(IF(HLOOKUP(D$2,'Database Geral'!$B$1:$F$65,'Base de Dados P1'!$A30,FALSE)=0,,HLOOKUP(D$2,'Database Geral'!$B$1:$F$65,'Base de Dados P1'!$A30,FALSE)),"")</f>
        <v>46.591041531705308</v>
      </c>
      <c r="E30" s="31">
        <f>IFERROR(IF(HLOOKUP(E$2,'Database Geral'!$B$1:$F$65,'Base de Dados P1'!$A30,FALSE)=0,,HLOOKUP(E$2,'Database Geral'!$B$1:$F$65,'Base de Dados P1'!$A30,FALSE)),"")</f>
        <v>11.74278</v>
      </c>
      <c r="F30" s="20">
        <f>IFERROR(IF(HLOOKUP(F$2,'Database Geral'!$B$1:$F$65,'Base de Dados P1'!$A30,FALSE)=0,,HLOOKUP(F$2,'Database Geral'!$B$1:$F$65,'Base de Dados P1'!$A30,FALSE)),"")</f>
        <v>10.259962989017396</v>
      </c>
      <c r="H30" s="39">
        <f>'Database Geral'!G29</f>
        <v>1380004385</v>
      </c>
    </row>
    <row r="31" spans="1:21" ht="15" customHeight="1" x14ac:dyDescent="0.25">
      <c r="A31" s="14">
        <v>30</v>
      </c>
      <c r="B31" s="18" t="s">
        <v>28</v>
      </c>
      <c r="C31" s="19">
        <f>IFERROR(IF(HLOOKUP(C$2,'Database Geral'!$B$1:$F$65,'Base de Dados P1'!$A31,FALSE)=0,,HLOOKUP(C$2,'Database Geral'!$B$1:$F$65,'Base de Dados P1'!$A31,FALSE)),"")</f>
        <v>1.6885299682617201</v>
      </c>
      <c r="D31" s="31">
        <f>IFERROR(IF(HLOOKUP(D$2,'Database Geral'!$B$1:$F$65,'Base de Dados P1'!$A31,FALSE)=0,,HLOOKUP(D$2,'Database Geral'!$B$1:$F$65,'Base de Dados P1'!$A31,FALSE)),"")</f>
        <v>31.700321689171012</v>
      </c>
      <c r="E31" s="31">
        <f>IFERROR(IF(HLOOKUP(E$2,'Database Geral'!$B$1:$F$65,'Base de Dados P1'!$A31,FALSE)=0,,HLOOKUP(E$2,'Database Geral'!$B$1:$F$65,'Base de Dados P1'!$A31,FALSE)),"")</f>
        <v>9.2955100000000002</v>
      </c>
      <c r="F31" s="20">
        <f>IFERROR(IF(HLOOKUP(F$2,'Database Geral'!$B$1:$F$65,'Base de Dados P1'!$A31,FALSE)=0,,HLOOKUP(F$2,'Database Geral'!$B$1:$F$65,'Base de Dados P1'!$A31,FALSE)),"")</f>
        <v>-0.27550500952816037</v>
      </c>
      <c r="H31" s="39">
        <f>'Database Geral'!G30</f>
        <v>4937786</v>
      </c>
    </row>
    <row r="32" spans="1:21" ht="15" customHeight="1" x14ac:dyDescent="0.25">
      <c r="A32" s="14">
        <v>31</v>
      </c>
      <c r="B32" s="18" t="s">
        <v>29</v>
      </c>
      <c r="C32" s="19">
        <f>IFERROR(IF(HLOOKUP(C$2,'Database Geral'!$B$1:$F$65,'Base de Dados P1'!$A32,FALSE)=0,,HLOOKUP(C$2,'Database Geral'!$B$1:$F$65,'Base de Dados P1'!$A32,FALSE)),"")</f>
        <v>3.9650099277496298</v>
      </c>
      <c r="D32" s="31">
        <f>IFERROR(IF(HLOOKUP(D$2,'Database Geral'!$B$1:$F$65,'Base de Dados P1'!$A32,FALSE)=0,,HLOOKUP(D$2,'Database Geral'!$B$1:$F$65,'Base de Dados P1'!$A32,FALSE)),"")</f>
        <v>43.702014433578533</v>
      </c>
      <c r="E32" s="31">
        <f>IFERROR(IF(HLOOKUP(E$2,'Database Geral'!$B$1:$F$65,'Base de Dados P1'!$A32,FALSE)=0,,HLOOKUP(E$2,'Database Geral'!$B$1:$F$65,'Base de Dados P1'!$A32,FALSE)),"")</f>
        <v>13.259320000000001</v>
      </c>
      <c r="F32" s="20">
        <f>IFERROR(IF(HLOOKUP(F$2,'Database Geral'!$B$1:$F$65,'Base de Dados P1'!$A32,FALSE)=0,,HLOOKUP(F$2,'Database Geral'!$B$1:$F$65,'Base de Dados P1'!$A32,FALSE)),"")</f>
        <v>5.7505321840403809</v>
      </c>
      <c r="H32" s="39">
        <f>'Database Geral'!G31</f>
        <v>8655535</v>
      </c>
    </row>
    <row r="33" spans="1:8" ht="15" customHeight="1" x14ac:dyDescent="0.25">
      <c r="A33" s="14">
        <v>32</v>
      </c>
      <c r="B33" s="18" t="s">
        <v>30</v>
      </c>
      <c r="C33" s="19">
        <f>IFERROR(IF(HLOOKUP(C$2,'Database Geral'!$B$1:$F$65,'Base de Dados P1'!$A33,FALSE)=0,,HLOOKUP(C$2,'Database Geral'!$B$1:$F$65,'Base de Dados P1'!$A33,FALSE)),"")</f>
        <v>1.2645800113678001</v>
      </c>
      <c r="D33" s="31">
        <f>IFERROR(IF(HLOOKUP(D$2,'Database Geral'!$B$1:$F$65,'Base de Dados P1'!$A33,FALSE)=0,,HLOOKUP(D$2,'Database Geral'!$B$1:$F$65,'Base de Dados P1'!$A33,FALSE)),"")</f>
        <v>21.380458591778407</v>
      </c>
      <c r="E33" s="31">
        <f>IFERROR(IF(HLOOKUP(E$2,'Database Geral'!$B$1:$F$65,'Base de Dados P1'!$A33,FALSE)=0,,HLOOKUP(E$2,'Database Geral'!$B$1:$F$65,'Base de Dados P1'!$A33,FALSE)),"")</f>
        <v>8.7239500000000003</v>
      </c>
      <c r="F33" s="20">
        <f>IFERROR(IF(HLOOKUP(F$2,'Database Geral'!$B$1:$F$65,'Base de Dados P1'!$A33,FALSE)=0,,HLOOKUP(F$2,'Database Geral'!$B$1:$F$65,'Base de Dados P1'!$A33,FALSE)),"")</f>
        <v>1.7105824180637654</v>
      </c>
      <c r="H33" s="39">
        <f>'Database Geral'!G32</f>
        <v>60461826</v>
      </c>
    </row>
    <row r="34" spans="1:8" ht="15" customHeight="1" x14ac:dyDescent="0.25">
      <c r="A34" s="14">
        <v>33</v>
      </c>
      <c r="B34" s="18" t="s">
        <v>31</v>
      </c>
      <c r="C34" s="19">
        <f>IFERROR(IF(HLOOKUP(C$2,'Database Geral'!$B$1:$F$65,'Base de Dados P1'!$A34,FALSE)=0,,HLOOKUP(C$2,'Database Geral'!$B$1:$F$65,'Base de Dados P1'!$A34,FALSE)),"")</f>
        <v>3.2539401054382302</v>
      </c>
      <c r="D34" s="31">
        <f>IFERROR(IF(HLOOKUP(D$2,'Database Geral'!$B$1:$F$65,'Base de Dados P1'!$A34,FALSE)=0,,HLOOKUP(D$2,'Database Geral'!$B$1:$F$65,'Base de Dados P1'!$A34,FALSE)),"")</f>
        <v>20.841026924106647</v>
      </c>
      <c r="E34" s="31">
        <f>IFERROR(IF(HLOOKUP(E$2,'Database Geral'!$B$1:$F$65,'Base de Dados P1'!$A34,FALSE)=0,,HLOOKUP(E$2,'Database Geral'!$B$1:$F$65,'Base de Dados P1'!$A34,FALSE)),"")</f>
        <v>9.4575800000000001</v>
      </c>
      <c r="F34" s="20">
        <f>IFERROR(IF(HLOOKUP(F$2,'Database Geral'!$B$1:$F$65,'Base de Dados P1'!$A34,FALSE)=0,,HLOOKUP(F$2,'Database Geral'!$B$1:$F$65,'Base de Dados P1'!$A34,FALSE)),"")</f>
        <v>4.6520301434902223</v>
      </c>
      <c r="H34" s="39">
        <f>'Database Geral'!G33</f>
        <v>126476461</v>
      </c>
    </row>
    <row r="35" spans="1:8" ht="15" customHeight="1" x14ac:dyDescent="0.25">
      <c r="A35" s="14">
        <v>34</v>
      </c>
      <c r="B35" s="18" t="s">
        <v>32</v>
      </c>
      <c r="C35" s="19">
        <f>IFERROR(IF(HLOOKUP(C$2,'Database Geral'!$B$1:$F$65,'Base de Dados P1'!$A35,FALSE)=0,,HLOOKUP(C$2,'Database Geral'!$B$1:$F$65,'Base de Dados P1'!$A35,FALSE)),"")</f>
        <v>0.97617000341415405</v>
      </c>
      <c r="D35" s="31">
        <f>IFERROR(IF(HLOOKUP(D$2,'Database Geral'!$B$1:$F$65,'Base de Dados P1'!$A35,FALSE)=0,,HLOOKUP(D$2,'Database Geral'!$B$1:$F$65,'Base de Dados P1'!$A35,FALSE)),"")</f>
        <v>77.647765878876569</v>
      </c>
      <c r="E35" s="31">
        <f>IFERROR(IF(HLOOKUP(E$2,'Database Geral'!$B$1:$F$65,'Base de Dados P1'!$A35,FALSE)=0,,HLOOKUP(E$2,'Database Geral'!$B$1:$F$65,'Base de Dados P1'!$A35,FALSE)),"")</f>
        <v>20.555990000000001</v>
      </c>
      <c r="F35" s="20">
        <f>IFERROR(IF(HLOOKUP(F$2,'Database Geral'!$B$1:$F$65,'Base de Dados P1'!$A35,FALSE)=0,,HLOOKUP(F$2,'Database Geral'!$B$1:$F$65,'Base de Dados P1'!$A35,FALSE)),"")</f>
        <v>8.4022770637024706</v>
      </c>
      <c r="H35" s="39">
        <f>'Database Geral'!G34</f>
        <v>53771296</v>
      </c>
    </row>
    <row r="36" spans="1:8" ht="15" customHeight="1" x14ac:dyDescent="0.25">
      <c r="A36" s="14">
        <v>35</v>
      </c>
      <c r="B36" s="18" t="s">
        <v>33</v>
      </c>
      <c r="C36" s="19">
        <f>IFERROR(IF(HLOOKUP(C$2,'Database Geral'!$B$1:$F$65,'Base de Dados P1'!$A36,FALSE)=0,,HLOOKUP(C$2,'Database Geral'!$B$1:$F$65,'Base de Dados P1'!$A36,FALSE)),"")</f>
        <v>0.15546999871730799</v>
      </c>
      <c r="D36" s="31">
        <f>IFERROR(IF(HLOOKUP(D$2,'Database Geral'!$B$1:$F$65,'Base de Dados P1'!$A36,FALSE)=0,,HLOOKUP(D$2,'Database Geral'!$B$1:$F$65,'Base de Dados P1'!$A36,FALSE)),"")</f>
        <v>45.855310265538492</v>
      </c>
      <c r="E36" s="31">
        <f>IFERROR(IF(HLOOKUP(E$2,'Database Geral'!$B$1:$F$65,'Base de Dados P1'!$A36,FALSE)=0,,HLOOKUP(E$2,'Database Geral'!$B$1:$F$65,'Base de Dados P1'!$A36,FALSE)),"")</f>
        <v>15.684760000000001</v>
      </c>
      <c r="F36" s="20">
        <f>IFERROR(IF(HLOOKUP(F$2,'Database Geral'!$B$1:$F$65,'Base de Dados P1'!$A36,FALSE)=0,,HLOOKUP(F$2,'Database Geral'!$B$1:$F$65,'Base de Dados P1'!$A36,FALSE)),"")</f>
        <v>-0.47156684750859768</v>
      </c>
      <c r="H36" s="39">
        <f>'Database Geral'!G35</f>
        <v>6524195</v>
      </c>
    </row>
    <row r="37" spans="1:8" ht="15" customHeight="1" x14ac:dyDescent="0.25">
      <c r="A37" s="14">
        <v>36</v>
      </c>
      <c r="B37" s="18" t="s">
        <v>34</v>
      </c>
      <c r="C37" s="19">
        <f>IFERROR(IF(HLOOKUP(C$2,'Database Geral'!$B$1:$F$65,'Base de Dados P1'!$A37,FALSE)=0,,HLOOKUP(C$2,'Database Geral'!$B$1:$F$65,'Base de Dados P1'!$A37,FALSE)),"")</f>
        <v>0.60458999872207597</v>
      </c>
      <c r="D37" s="31">
        <f>IFERROR(IF(HLOOKUP(D$2,'Database Geral'!$B$1:$F$65,'Base de Dados P1'!$A37,FALSE)=0,,HLOOKUP(D$2,'Database Geral'!$B$1:$F$65,'Base de Dados P1'!$A37,FALSE)),"")</f>
        <v>20.978530825946716</v>
      </c>
      <c r="E37" s="31">
        <f>IFERROR(IF(HLOOKUP(E$2,'Database Geral'!$B$1:$F$65,'Base de Dados P1'!$A37,FALSE)=0,,HLOOKUP(E$2,'Database Geral'!$B$1:$F$65,'Base de Dados P1'!$A37,FALSE)),"")</f>
        <v>8.1226400000000005</v>
      </c>
      <c r="F37" s="20">
        <f>IFERROR(IF(HLOOKUP(F$2,'Database Geral'!$B$1:$F$65,'Base de Dados P1'!$A37,FALSE)=0,,HLOOKUP(F$2,'Database Geral'!$B$1:$F$65,'Base de Dados P1'!$A37,FALSE)),"")</f>
        <v>-2.8736096958718207</v>
      </c>
      <c r="H37" s="39">
        <f>'Database Geral'!G36</f>
        <v>1886198</v>
      </c>
    </row>
    <row r="38" spans="1:8" ht="15" customHeight="1" x14ac:dyDescent="0.25">
      <c r="A38" s="14">
        <v>37</v>
      </c>
      <c r="B38" s="18" t="s">
        <v>76</v>
      </c>
      <c r="C38" s="19">
        <f>IFERROR(IF(HLOOKUP(C$2,'Database Geral'!$B$1:$F$65,'Base de Dados P1'!$A38,FALSE)=0,,HLOOKUP(C$2,'Database Geral'!$B$1:$F$65,'Base de Dados P1'!$A38,FALSE)),"")</f>
        <v>5.1720000803470598E-2</v>
      </c>
      <c r="D38" s="31">
        <f>IFERROR(IF(HLOOKUP(D$2,'Database Geral'!$B$1:$F$65,'Base de Dados P1'!$A38,FALSE)=0,,HLOOKUP(D$2,'Database Geral'!$B$1:$F$65,'Base de Dados P1'!$A38,FALSE)),"")</f>
        <v>15.888046941425996</v>
      </c>
      <c r="E38" s="31">
        <f>IFERROR(IF(HLOOKUP(E$2,'Database Geral'!$B$1:$F$65,'Base de Dados P1'!$A38,FALSE)=0,,HLOOKUP(E$2,'Database Geral'!$B$1:$F$65,'Base de Dados P1'!$A38,FALSE)),"")</f>
        <v>15.67268</v>
      </c>
      <c r="F38" s="20">
        <f>IFERROR(IF(HLOOKUP(F$2,'Database Geral'!$B$1:$F$65,'Base de Dados P1'!$A38,FALSE)=0,,HLOOKUP(F$2,'Database Geral'!$B$1:$F$65,'Base de Dados P1'!$A38,FALSE)),"")</f>
        <v>27.498964227387361</v>
      </c>
      <c r="H38" s="39">
        <f>'Database Geral'!G37</f>
        <v>649335</v>
      </c>
    </row>
    <row r="39" spans="1:8" ht="15" customHeight="1" x14ac:dyDescent="0.25">
      <c r="A39" s="14">
        <v>38</v>
      </c>
      <c r="B39" s="18" t="s">
        <v>36</v>
      </c>
      <c r="C39" s="19">
        <f>IFERROR(IF(HLOOKUP(C$2,'Database Geral'!$B$1:$F$65,'Base de Dados P1'!$A39,FALSE)=0,,HLOOKUP(C$2,'Database Geral'!$B$1:$F$65,'Base de Dados P1'!$A39,FALSE)),"")</f>
        <v>1.0673999786377</v>
      </c>
      <c r="D39" s="31">
        <f>IFERROR(IF(HLOOKUP(D$2,'Database Geral'!$B$1:$F$65,'Base de Dados P1'!$A39,FALSE)=0,,HLOOKUP(D$2,'Database Geral'!$B$1:$F$65,'Base de Dados P1'!$A39,FALSE)),"")</f>
        <v>41.026654057019734</v>
      </c>
      <c r="E39" s="31">
        <f>IFERROR(IF(HLOOKUP(E$2,'Database Geral'!$B$1:$F$65,'Base de Dados P1'!$A39,FALSE)=0,,HLOOKUP(E$2,'Database Geral'!$B$1:$F$65,'Base de Dados P1'!$A39,FALSE)),"")</f>
        <v>18.406230000000001</v>
      </c>
      <c r="F39" s="20">
        <f>IFERROR(IF(HLOOKUP(F$2,'Database Geral'!$B$1:$F$65,'Base de Dados P1'!$A39,FALSE)=0,,HLOOKUP(F$2,'Database Geral'!$B$1:$F$65,'Base de Dados P1'!$A39,FALSE)),"")</f>
        <v>7.4259704961548607</v>
      </c>
      <c r="H39" s="39">
        <f>'Database Geral'!G38</f>
        <v>32365999</v>
      </c>
    </row>
    <row r="40" spans="1:8" ht="15" customHeight="1" x14ac:dyDescent="0.25">
      <c r="A40" s="14">
        <v>39</v>
      </c>
      <c r="B40" s="18" t="s">
        <v>37</v>
      </c>
      <c r="C40" s="19">
        <f>IFERROR(IF(HLOOKUP(C$2,'Database Geral'!$B$1:$F$65,'Base de Dados P1'!$A40,FALSE)=0,,HLOOKUP(C$2,'Database Geral'!$B$1:$F$65,'Base de Dados P1'!$A40,FALSE)),"")</f>
        <v>0.66141998767852805</v>
      </c>
      <c r="D40" s="31">
        <f>IFERROR(IF(HLOOKUP(D$2,'Database Geral'!$B$1:$F$65,'Base de Dados P1'!$A40,FALSE)=0,,HLOOKUP(D$2,'Database Geral'!$B$1:$F$65,'Base de Dados P1'!$A40,FALSE)),"")</f>
        <v>93.034395415081789</v>
      </c>
      <c r="E40" s="31">
        <f>IFERROR(IF(HLOOKUP(E$2,'Database Geral'!$B$1:$F$65,'Base de Dados P1'!$A40,FALSE)=0,,HLOOKUP(E$2,'Database Geral'!$B$1:$F$65,'Base de Dados P1'!$A40,FALSE)),"")</f>
        <v>16.503910000000001</v>
      </c>
      <c r="F40" s="20">
        <f>IFERROR(IF(HLOOKUP(F$2,'Database Geral'!$B$1:$F$65,'Base de Dados P1'!$A40,FALSE)=0,,HLOOKUP(F$2,'Database Geral'!$B$1:$F$65,'Base de Dados P1'!$A40,FALSE)),"")</f>
        <v>5.8193148304095388</v>
      </c>
      <c r="H40" s="39">
        <f>'Database Geral'!G39</f>
        <v>20250833</v>
      </c>
    </row>
    <row r="41" spans="1:8" ht="15" customHeight="1" x14ac:dyDescent="0.25">
      <c r="A41" s="14">
        <v>40</v>
      </c>
      <c r="B41" s="18" t="s">
        <v>38</v>
      </c>
      <c r="C41" s="19">
        <f>IFERROR(IF(HLOOKUP(C$2,'Database Geral'!$B$1:$F$65,'Base de Dados P1'!$A41,FALSE)=0,,HLOOKUP(C$2,'Database Geral'!$B$1:$F$65,'Base de Dados P1'!$A41,FALSE)),"")</f>
        <v>0.68136000633239702</v>
      </c>
      <c r="D41" s="31">
        <f>IFERROR(IF(HLOOKUP(D$2,'Database Geral'!$B$1:$F$65,'Base de Dados P1'!$A41,FALSE)=0,,HLOOKUP(D$2,'Database Geral'!$B$1:$F$65,'Base de Dados P1'!$A41,FALSE)),"")</f>
        <v>22.35562152645932</v>
      </c>
      <c r="E41" s="31">
        <f>IFERROR(IF(HLOOKUP(E$2,'Database Geral'!$B$1:$F$65,'Base de Dados P1'!$A41,FALSE)=0,,HLOOKUP(E$2,'Database Geral'!$B$1:$F$65,'Base de Dados P1'!$A41,FALSE)),"")</f>
        <v>15.73082</v>
      </c>
      <c r="F41" s="20">
        <f>IFERROR(IF(HLOOKUP(F$2,'Database Geral'!$B$1:$F$65,'Base de Dados P1'!$A41,FALSE)=0,,HLOOKUP(F$2,'Database Geral'!$B$1:$F$65,'Base de Dados P1'!$A41,FALSE)),"")</f>
        <v>4.2999999999999261</v>
      </c>
      <c r="H41" s="39">
        <f>'Database Geral'!G40</f>
        <v>441543</v>
      </c>
    </row>
    <row r="42" spans="1:8" ht="15" customHeight="1" x14ac:dyDescent="0.25">
      <c r="A42" s="14">
        <v>41</v>
      </c>
      <c r="B42" s="18" t="s">
        <v>39</v>
      </c>
      <c r="C42" s="19">
        <f>IFERROR(IF(HLOOKUP(C$2,'Database Geral'!$B$1:$F$65,'Base de Dados P1'!$A42,FALSE)=0,,HLOOKUP(C$2,'Database Geral'!$B$1:$F$65,'Base de Dados P1'!$A42,FALSE)),"")</f>
        <v>0.45592001080513</v>
      </c>
      <c r="D42" s="31">
        <f>IFERROR(IF(HLOOKUP(D$2,'Database Geral'!$B$1:$F$65,'Base de Dados P1'!$A42,FALSE)=0,,HLOOKUP(D$2,'Database Geral'!$B$1:$F$65,'Base de Dados P1'!$A42,FALSE)),"")</f>
        <v>46.964942568096397</v>
      </c>
      <c r="E42" s="31">
        <f>IFERROR(IF(HLOOKUP(E$2,'Database Geral'!$B$1:$F$65,'Base de Dados P1'!$A42,FALSE)=0,,HLOOKUP(E$2,'Database Geral'!$B$1:$F$65,'Base de Dados P1'!$A42,FALSE)),"")</f>
        <v>19.319980000000001</v>
      </c>
      <c r="F42" s="20">
        <f>IFERROR(IF(HLOOKUP(F$2,'Database Geral'!$B$1:$F$65,'Base de Dados P1'!$A42,FALSE)=0,,HLOOKUP(F$2,'Database Geral'!$B$1:$F$65,'Base de Dados P1'!$A42,FALSE)),"")</f>
        <v>5.11019873147265</v>
      </c>
      <c r="H42" s="39">
        <f>'Database Geral'!G41</f>
        <v>128932753</v>
      </c>
    </row>
    <row r="43" spans="1:8" ht="15" customHeight="1" x14ac:dyDescent="0.25">
      <c r="A43" s="14">
        <v>42</v>
      </c>
      <c r="B43" s="18" t="s">
        <v>40</v>
      </c>
      <c r="C43" s="19">
        <f>IFERROR(IF(HLOOKUP(C$2,'Database Geral'!$B$1:$F$65,'Base de Dados P1'!$A43,FALSE)=0,,HLOOKUP(C$2,'Database Geral'!$B$1:$F$65,'Base de Dados P1'!$A43,FALSE)),"")</f>
        <v>0.43986999988555903</v>
      </c>
      <c r="D43" s="31">
        <f>IFERROR(IF(HLOOKUP(D$2,'Database Geral'!$B$1:$F$65,'Base de Dados P1'!$A43,FALSE)=0,,HLOOKUP(D$2,'Database Geral'!$B$1:$F$65,'Base de Dados P1'!$A43,FALSE)),"")</f>
        <v>23.097969840114018</v>
      </c>
      <c r="E43" s="31">
        <f>IFERROR(IF(HLOOKUP(E$2,'Database Geral'!$B$1:$F$65,'Base de Dados P1'!$A43,FALSE)=0,,HLOOKUP(E$2,'Database Geral'!$B$1:$F$65,'Base de Dados P1'!$A43,FALSE)),"")</f>
        <v>22.336099999999998</v>
      </c>
      <c r="F43" s="20">
        <f>IFERROR(IF(HLOOKUP(F$2,'Database Geral'!$B$1:$F$65,'Base de Dados P1'!$A43,FALSE)=0,,HLOOKUP(F$2,'Database Geral'!$B$1:$F$65,'Base de Dados P1'!$A43,FALSE)),"")</f>
        <v>7.0940717618723852</v>
      </c>
      <c r="H43" s="39">
        <f>'Database Geral'!G42</f>
        <v>4033963</v>
      </c>
    </row>
    <row r="44" spans="1:8" ht="15" customHeight="1" x14ac:dyDescent="0.25">
      <c r="A44" s="14">
        <v>43</v>
      </c>
      <c r="B44" s="18" t="s">
        <v>41</v>
      </c>
      <c r="C44" s="19">
        <f>IFERROR(IF(HLOOKUP(C$2,'Database Geral'!$B$1:$F$65,'Base de Dados P1'!$A44,FALSE)=0,,HLOOKUP(C$2,'Database Geral'!$B$1:$F$65,'Base de Dados P1'!$A44,FALSE)),"")</f>
        <v>0.28334999084472701</v>
      </c>
      <c r="D44" s="31">
        <f>IFERROR(IF(HLOOKUP(D$2,'Database Geral'!$B$1:$F$65,'Base de Dados P1'!$A44,FALSE)=0,,HLOOKUP(D$2,'Database Geral'!$B$1:$F$65,'Base de Dados P1'!$A44,FALSE)),"")</f>
        <v>38.931399323039599</v>
      </c>
      <c r="E44" s="31">
        <f>IFERROR(IF(HLOOKUP(E$2,'Database Geral'!$B$1:$F$65,'Base de Dados P1'!$A44,FALSE)=0,,HLOOKUP(E$2,'Database Geral'!$B$1:$F$65,'Base de Dados P1'!$A44,FALSE)),"")</f>
        <v>14.71114</v>
      </c>
      <c r="F44" s="20">
        <f>IFERROR(IF(HLOOKUP(F$2,'Database Geral'!$B$1:$F$65,'Base de Dados P1'!$A44,FALSE)=0,,HLOOKUP(F$2,'Database Geral'!$B$1:$F$65,'Base de Dados P1'!$A44,FALSE)),"")</f>
        <v>6.3651616849400057</v>
      </c>
      <c r="H44" s="39">
        <f>'Database Geral'!G43</f>
        <v>3278290</v>
      </c>
    </row>
    <row r="45" spans="1:8" ht="15" customHeight="1" x14ac:dyDescent="0.25">
      <c r="A45" s="14">
        <v>44</v>
      </c>
      <c r="B45" s="18" t="s">
        <v>42</v>
      </c>
      <c r="C45" s="19">
        <f>IFERROR(IF(HLOOKUP(C$2,'Database Geral'!$B$1:$F$65,'Base de Dados P1'!$A45,FALSE)=0,,HLOOKUP(C$2,'Database Geral'!$B$1:$F$65,'Base de Dados P1'!$A45,FALSE)),"")</f>
        <v>0.14440999925136599</v>
      </c>
      <c r="D45" s="31">
        <f>IFERROR(IF(HLOOKUP(D$2,'Database Geral'!$B$1:$F$65,'Base de Dados P1'!$A45,FALSE)=0,,HLOOKUP(D$2,'Database Geral'!$B$1:$F$65,'Base de Dados P1'!$A45,FALSE)),"")</f>
        <v>64.003760570758601</v>
      </c>
      <c r="E45" s="31">
        <f>IFERROR(IF(HLOOKUP(E$2,'Database Geral'!$B$1:$F$65,'Base de Dados P1'!$A45,FALSE)=0,,HLOOKUP(E$2,'Database Geral'!$B$1:$F$65,'Base de Dados P1'!$A45,FALSE)),"")</f>
        <v>26.193249999999999</v>
      </c>
      <c r="F45" s="20">
        <f>IFERROR(IF(HLOOKUP(F$2,'Database Geral'!$B$1:$F$65,'Base de Dados P1'!$A45,FALSE)=0,,HLOOKUP(F$2,'Database Geral'!$B$1:$F$65,'Base de Dados P1'!$A45,FALSE)),"")</f>
        <v>5.9637801567363766</v>
      </c>
      <c r="H45" s="39">
        <f>'Database Geral'!G44</f>
        <v>2540905</v>
      </c>
    </row>
    <row r="46" spans="1:8" ht="15" customHeight="1" x14ac:dyDescent="0.25">
      <c r="A46" s="14">
        <v>45</v>
      </c>
      <c r="B46" s="18" t="s">
        <v>43</v>
      </c>
      <c r="C46" s="19">
        <f>IFERROR(IF(HLOOKUP(C$2,'Database Geral'!$B$1:$F$65,'Base de Dados P1'!$A46,FALSE)=0,,HLOOKUP(C$2,'Database Geral'!$B$1:$F$65,'Base de Dados P1'!$A46,FALSE)),"")</f>
        <v>0.30219998955726601</v>
      </c>
      <c r="D46" s="31">
        <f>IFERROR(IF(HLOOKUP(D$2,'Database Geral'!$B$1:$F$65,'Base de Dados P1'!$A46,FALSE)=0,,HLOOKUP(D$2,'Database Geral'!$B$1:$F$65,'Base de Dados P1'!$A46,FALSE)),"")</f>
        <v>64.012022127870878</v>
      </c>
      <c r="E46" s="31">
        <f>IFERROR(IF(HLOOKUP(E$2,'Database Geral'!$B$1:$F$65,'Base de Dados P1'!$A46,FALSE)=0,,HLOOKUP(E$2,'Database Geral'!$B$1:$F$65,'Base de Dados P1'!$A46,FALSE)),"")</f>
        <v>20.81352</v>
      </c>
      <c r="F46" s="20">
        <f>IFERROR(IF(HLOOKUP(F$2,'Database Geral'!$B$1:$F$65,'Base de Dados P1'!$A46,FALSE)=0,,HLOOKUP(F$2,'Database Geral'!$B$1:$F$65,'Base de Dados P1'!$A46,FALSE)),"")</f>
        <v>4.8164146502244023</v>
      </c>
      <c r="H46" s="39">
        <f>'Database Geral'!G45</f>
        <v>29136808</v>
      </c>
    </row>
    <row r="47" spans="1:8" ht="15" customHeight="1" x14ac:dyDescent="0.25">
      <c r="A47" s="14">
        <v>46</v>
      </c>
      <c r="B47" s="18" t="s">
        <v>44</v>
      </c>
      <c r="C47" s="19">
        <f>IFERROR(IF(HLOOKUP(C$2,'Database Geral'!$B$1:$F$65,'Base de Dados P1'!$A47,FALSE)=0,,HLOOKUP(C$2,'Database Geral'!$B$1:$F$65,'Base de Dados P1'!$A47,FALSE)),"")</f>
        <v>1.8561999797821001</v>
      </c>
      <c r="D47" s="31">
        <f>IFERROR(IF(HLOOKUP(D$2,'Database Geral'!$B$1:$F$65,'Base de Dados P1'!$A47,FALSE)=0,,HLOOKUP(D$2,'Database Geral'!$B$1:$F$65,'Base de Dados P1'!$A47,FALSE)),"")</f>
        <v>26.101342986602088</v>
      </c>
      <c r="E47" s="31">
        <f>IFERROR(IF(HLOOKUP(E$2,'Database Geral'!$B$1:$F$65,'Base de Dados P1'!$A47,FALSE)=0,,HLOOKUP(E$2,'Database Geral'!$B$1:$F$65,'Base de Dados P1'!$A47,FALSE)),"")</f>
        <v>11.52436</v>
      </c>
      <c r="F47" s="20">
        <f>IFERROR(IF(HLOOKUP(F$2,'Database Geral'!$B$1:$F$65,'Base de Dados P1'!$A47,FALSE)=0,,HLOOKUP(F$2,'Database Geral'!$B$1:$F$65,'Base de Dados P1'!$A47,FALSE)),"")</f>
        <v>1.0705038483302332</v>
      </c>
      <c r="H47" s="39">
        <f>'Database Geral'!G46</f>
        <v>17134872</v>
      </c>
    </row>
    <row r="48" spans="1:8" ht="15" customHeight="1" x14ac:dyDescent="0.25">
      <c r="A48" s="14">
        <v>47</v>
      </c>
      <c r="B48" s="18" t="s">
        <v>45</v>
      </c>
      <c r="C48" s="19">
        <f>IFERROR(IF(HLOOKUP(C$2,'Database Geral'!$B$1:$F$65,'Base de Dados P1'!$A48,FALSE)=0,,HLOOKUP(C$2,'Database Geral'!$B$1:$F$65,'Base de Dados P1'!$A48,FALSE)),"")</f>
        <v>1.6806099414825399</v>
      </c>
      <c r="D48" s="31">
        <f>IFERROR(IF(HLOOKUP(D$2,'Database Geral'!$B$1:$F$65,'Base de Dados P1'!$A48,FALSE)=0,,HLOOKUP(D$2,'Database Geral'!$B$1:$F$65,'Base de Dados P1'!$A48,FALSE)),"")</f>
        <v>28.409666470846908</v>
      </c>
      <c r="E48" s="31">
        <f>IFERROR(IF(HLOOKUP(E$2,'Database Geral'!$B$1:$F$65,'Base de Dados P1'!$A48,FALSE)=0,,HLOOKUP(E$2,'Database Geral'!$B$1:$F$65,'Base de Dados P1'!$A48,FALSE)),"")</f>
        <v>15.30602</v>
      </c>
      <c r="F48" s="20">
        <f>IFERROR(IF(HLOOKUP(F$2,'Database Geral'!$B$1:$F$65,'Base de Dados P1'!$A48,FALSE)=0,,HLOOKUP(F$2,'Database Geral'!$B$1:$F$65,'Base de Dados P1'!$A48,FALSE)),"")</f>
        <v>0.60193444078448977</v>
      </c>
      <c r="H48" s="39">
        <f>'Database Geral'!G47</f>
        <v>5421241</v>
      </c>
    </row>
    <row r="49" spans="1:8" ht="15" customHeight="1" x14ac:dyDescent="0.25">
      <c r="A49" s="14">
        <v>48</v>
      </c>
      <c r="B49" s="18" t="s">
        <v>46</v>
      </c>
      <c r="C49" s="19">
        <f>IFERROR(IF(HLOOKUP(C$2,'Database Geral'!$B$1:$F$65,'Base de Dados P1'!$A49,FALSE)=0,,HLOOKUP(C$2,'Database Geral'!$B$1:$F$65,'Base de Dados P1'!$A49,FALSE)),"")</f>
        <v>0.73530000448226895</v>
      </c>
      <c r="D49" s="31">
        <f>IFERROR(IF(HLOOKUP(D$2,'Database Geral'!$B$1:$F$65,'Base de Dados P1'!$A49,FALSE)=0,,HLOOKUP(D$2,'Database Geral'!$B$1:$F$65,'Base de Dados P1'!$A49,FALSE)),"")</f>
        <v>21.002491759149297</v>
      </c>
      <c r="E49" s="31">
        <f>IFERROR(IF(HLOOKUP(E$2,'Database Geral'!$B$1:$F$65,'Base de Dados P1'!$A49,FALSE)=0,,HLOOKUP(E$2,'Database Geral'!$B$1:$F$65,'Base de Dados P1'!$A49,FALSE)),"")</f>
        <v>11.108919999999999</v>
      </c>
      <c r="F49" s="20">
        <f>IFERROR(IF(HLOOKUP(F$2,'Database Geral'!$B$1:$F$65,'Base de Dados P1'!$A49,FALSE)=0,,HLOOKUP(F$2,'Database Geral'!$B$1:$F$65,'Base de Dados P1'!$A49,FALSE)),"")</f>
        <v>3.7098103874690906</v>
      </c>
      <c r="H49" s="39">
        <f>'Database Geral'!G48</f>
        <v>37846611</v>
      </c>
    </row>
    <row r="50" spans="1:8" ht="15" customHeight="1" x14ac:dyDescent="0.25">
      <c r="A50" s="14">
        <v>49</v>
      </c>
      <c r="B50" s="18" t="s">
        <v>47</v>
      </c>
      <c r="C50" s="19">
        <f>IFERROR(IF(HLOOKUP(C$2,'Database Geral'!$B$1:$F$65,'Base de Dados P1'!$A50,FALSE)=0,,HLOOKUP(C$2,'Database Geral'!$B$1:$F$65,'Base de Dados P1'!$A50,FALSE)),"")</f>
        <v>1.59007000923157</v>
      </c>
      <c r="D50" s="31">
        <f>IFERROR(IF(HLOOKUP(D$2,'Database Geral'!$B$1:$F$65,'Base de Dados P1'!$A50,FALSE)=0,,HLOOKUP(D$2,'Database Geral'!$B$1:$F$65,'Base de Dados P1'!$A50,FALSE)),"")</f>
        <v>22.665676290055632</v>
      </c>
      <c r="E50" s="31">
        <f>IFERROR(IF(HLOOKUP(E$2,'Database Geral'!$B$1:$F$65,'Base de Dados P1'!$A50,FALSE)=0,,HLOOKUP(E$2,'Database Geral'!$B$1:$F$65,'Base de Dados P1'!$A50,FALSE)),"")</f>
        <v>10.42656</v>
      </c>
      <c r="F50" s="20">
        <f>IFERROR(IF(HLOOKUP(F$2,'Database Geral'!$B$1:$F$65,'Base de Dados P1'!$A50,FALSE)=0,,HLOOKUP(F$2,'Database Geral'!$B$1:$F$65,'Base de Dados P1'!$A50,FALSE)),"")</f>
        <v>1.8986750387770712</v>
      </c>
      <c r="H50" s="39">
        <f>'Database Geral'!G49</f>
        <v>10196709</v>
      </c>
    </row>
    <row r="51" spans="1:8" ht="15" customHeight="1" x14ac:dyDescent="0.25">
      <c r="A51" s="14">
        <v>50</v>
      </c>
      <c r="B51" s="18" t="s">
        <v>48</v>
      </c>
      <c r="C51" s="19">
        <f>IFERROR(IF(HLOOKUP(C$2,'Database Geral'!$B$1:$F$65,'Base de Dados P1'!$A51,FALSE)=0,,HLOOKUP(C$2,'Database Geral'!$B$1:$F$65,'Base de Dados P1'!$A51,FALSE)),"")</f>
        <v>0.46086001396179199</v>
      </c>
      <c r="D51" s="31">
        <f>IFERROR(IF(HLOOKUP(D$2,'Database Geral'!$B$1:$F$65,'Base de Dados P1'!$A51,FALSE)=0,,HLOOKUP(D$2,'Database Geral'!$B$1:$F$65,'Base de Dados P1'!$A51,FALSE)),"")</f>
        <v>21.402772707478693</v>
      </c>
      <c r="E51" s="31">
        <f>IFERROR(IF(HLOOKUP(E$2,'Database Geral'!$B$1:$F$65,'Base de Dados P1'!$A51,FALSE)=0,,HLOOKUP(E$2,'Database Geral'!$B$1:$F$65,'Base de Dados P1'!$A51,FALSE)),"")</f>
        <v>9.12913</v>
      </c>
      <c r="F51" s="20">
        <f>IFERROR(IF(HLOOKUP(F$2,'Database Geral'!$B$1:$F$65,'Base de Dados P1'!$A51,FALSE)=0,,HLOOKUP(F$2,'Database Geral'!$B$1:$F$65,'Base de Dados P1'!$A51,FALSE)),"")</f>
        <v>-0.9396559797708619</v>
      </c>
      <c r="H51" s="39">
        <f>'Database Geral'!G50</f>
        <v>19237691</v>
      </c>
    </row>
    <row r="52" spans="1:8" ht="15" customHeight="1" x14ac:dyDescent="0.25">
      <c r="A52" s="14">
        <v>51</v>
      </c>
      <c r="B52" s="18" t="s">
        <v>49</v>
      </c>
      <c r="C52" s="19">
        <f>IFERROR(IF(HLOOKUP(C$2,'Database Geral'!$B$1:$F$65,'Base de Dados P1'!$A52,FALSE)=0,,HLOOKUP(C$2,'Database Geral'!$B$1:$F$65,'Base de Dados P1'!$A52,FALSE)),"")</f>
        <v>0.54085999727249101</v>
      </c>
      <c r="D52" s="31">
        <f>IFERROR(IF(HLOOKUP(D$2,'Database Geral'!$B$1:$F$65,'Base de Dados P1'!$A52,FALSE)=0,,HLOOKUP(D$2,'Database Geral'!$B$1:$F$65,'Base de Dados P1'!$A52,FALSE)),"")</f>
        <v>81.910321426951114</v>
      </c>
      <c r="E52" s="31">
        <f>IFERROR(IF(HLOOKUP(E$2,'Database Geral'!$B$1:$F$65,'Base de Dados P1'!$A52,FALSE)=0,,HLOOKUP(E$2,'Database Geral'!$B$1:$F$65,'Base de Dados P1'!$A52,FALSE)),"")</f>
        <v>20.723179999999999</v>
      </c>
      <c r="F52" s="20">
        <f>IFERROR(IF(HLOOKUP(F$2,'Database Geral'!$B$1:$F$65,'Base de Dados P1'!$A52,FALSE)=0,,HLOOKUP(F$2,'Database Geral'!$B$1:$F$65,'Base de Dados P1'!$A52,FALSE)),"")</f>
        <v>4.2662476259499584</v>
      </c>
      <c r="H52" s="39">
        <f>'Database Geral'!G51</f>
        <v>16743927</v>
      </c>
    </row>
    <row r="53" spans="1:8" ht="15" customHeight="1" x14ac:dyDescent="0.25">
      <c r="A53" s="14">
        <v>52</v>
      </c>
      <c r="B53" s="18" t="s">
        <v>50</v>
      </c>
      <c r="C53" s="19">
        <f>IFERROR(IF(HLOOKUP(C$2,'Database Geral'!$B$1:$F$65,'Base de Dados P1'!$A53,FALSE)=0,,HLOOKUP(C$2,'Database Geral'!$B$1:$F$65,'Base de Dados P1'!$A53,FALSE)),"")</f>
        <v>0.79212999343872104</v>
      </c>
      <c r="D53" s="31">
        <f>IFERROR(IF(HLOOKUP(D$2,'Database Geral'!$B$1:$F$65,'Base de Dados P1'!$A53,FALSE)=0,,HLOOKUP(D$2,'Database Geral'!$B$1:$F$65,'Base de Dados P1'!$A53,FALSE)),"")</f>
        <v>24.311684081557306</v>
      </c>
      <c r="E53" s="31">
        <f>IFERROR(IF(HLOOKUP(E$2,'Database Geral'!$B$1:$F$65,'Base de Dados P1'!$A53,FALSE)=0,,HLOOKUP(E$2,'Database Geral'!$B$1:$F$65,'Base de Dados P1'!$A53,FALSE)),"")</f>
        <v>10.51355</v>
      </c>
      <c r="F53" s="20">
        <f>IFERROR(IF(HLOOKUP(F$2,'Database Geral'!$B$1:$F$65,'Base de Dados P1'!$A53,FALSE)=0,,HLOOKUP(F$2,'Database Geral'!$B$1:$F$65,'Base de Dados P1'!$A53,FALSE)),"")</f>
        <v>0.5844780879253193</v>
      </c>
      <c r="H53" s="39">
        <f>'Database Geral'!G52</f>
        <v>8737371</v>
      </c>
    </row>
    <row r="54" spans="1:8" ht="15" customHeight="1" x14ac:dyDescent="0.25">
      <c r="A54" s="14">
        <v>53</v>
      </c>
      <c r="B54" s="18" t="s">
        <v>51</v>
      </c>
      <c r="C54" s="19">
        <f>IFERROR(IF(HLOOKUP(C$2,'Database Geral'!$B$1:$F$65,'Base de Dados P1'!$A54,FALSE)=0,,HLOOKUP(C$2,'Database Geral'!$B$1:$F$65,'Base de Dados P1'!$A54,FALSE)),"")</f>
        <v>2.0539999008178702</v>
      </c>
      <c r="D54" s="31">
        <f>IFERROR(IF(HLOOKUP(D$2,'Database Geral'!$B$1:$F$65,'Base de Dados P1'!$A54,FALSE)=0,,HLOOKUP(D$2,'Database Geral'!$B$1:$F$65,'Base de Dados P1'!$A54,FALSE)),"")</f>
        <v>23.548008418714712</v>
      </c>
      <c r="E54" s="31">
        <f>IFERROR(IF(HLOOKUP(E$2,'Database Geral'!$B$1:$F$65,'Base de Dados P1'!$A54,FALSE)=0,,HLOOKUP(E$2,'Database Geral'!$B$1:$F$65,'Base de Dados P1'!$A54,FALSE)),"")</f>
        <v>16.55659</v>
      </c>
      <c r="F54" s="20">
        <f>IFERROR(IF(HLOOKUP(F$2,'Database Geral'!$B$1:$F$65,'Base de Dados P1'!$A54,FALSE)=0,,HLOOKUP(F$2,'Database Geral'!$B$1:$F$65,'Base de Dados P1'!$A54,FALSE)),"")</f>
        <v>15.24037703594152</v>
      </c>
      <c r="H54" s="39">
        <f>'Database Geral'!G53</f>
        <v>5850342</v>
      </c>
    </row>
    <row r="55" spans="1:8" ht="15" customHeight="1" x14ac:dyDescent="0.25">
      <c r="A55" s="14">
        <v>54</v>
      </c>
      <c r="B55" s="18" t="s">
        <v>52</v>
      </c>
      <c r="C55" s="19">
        <f>IFERROR(IF(HLOOKUP(C$2,'Database Geral'!$B$1:$F$65,'Base de Dados P1'!$A55,FALSE)=0,,HLOOKUP(C$2,'Database Geral'!$B$1:$F$65,'Base de Dados P1'!$A55,FALSE)),"")</f>
        <v>0.63331997394561801</v>
      </c>
      <c r="D55" s="31">
        <f>IFERROR(IF(HLOOKUP(D$2,'Database Geral'!$B$1:$F$65,'Base de Dados P1'!$A55,FALSE)=0,,HLOOKUP(D$2,'Database Geral'!$B$1:$F$65,'Base de Dados P1'!$A55,FALSE)),"")</f>
        <v>20.84600801517869</v>
      </c>
      <c r="E55" s="31">
        <f>IFERROR(IF(HLOOKUP(E$2,'Database Geral'!$B$1:$F$65,'Base de Dados P1'!$A55,FALSE)=0,,HLOOKUP(E$2,'Database Geral'!$B$1:$F$65,'Base de Dados P1'!$A55,FALSE)),"")</f>
        <v>9.8575300000000006</v>
      </c>
      <c r="F55" s="20">
        <f>IFERROR(IF(HLOOKUP(F$2,'Database Geral'!$B$1:$F$65,'Base de Dados P1'!$A55,FALSE)=0,,HLOOKUP(F$2,'Database Geral'!$B$1:$F$65,'Base de Dados P1'!$A55,FALSE)),"")</f>
        <v>4.827314044859051</v>
      </c>
      <c r="H55" s="39">
        <f>'Database Geral'!G54</f>
        <v>5459642</v>
      </c>
    </row>
    <row r="56" spans="1:8" ht="15" customHeight="1" x14ac:dyDescent="0.25">
      <c r="A56" s="14">
        <v>55</v>
      </c>
      <c r="B56" s="18" t="s">
        <v>53</v>
      </c>
      <c r="C56" s="19">
        <f>IFERROR(IF(HLOOKUP(C$2,'Database Geral'!$B$1:$F$65,'Base de Dados P1'!$A56,FALSE)=0,,HLOOKUP(C$2,'Database Geral'!$B$1:$F$65,'Base de Dados P1'!$A56,FALSE)),"")</f>
        <v>2.10624003410339</v>
      </c>
      <c r="D56" s="31">
        <f>IFERROR(IF(HLOOKUP(D$2,'Database Geral'!$B$1:$F$65,'Base de Dados P1'!$A56,FALSE)=0,,HLOOKUP(D$2,'Database Geral'!$B$1:$F$65,'Base de Dados P1'!$A56,FALSE)),"")</f>
        <v>20.213249852838871</v>
      </c>
      <c r="E56" s="31">
        <f>IFERROR(IF(HLOOKUP(E$2,'Database Geral'!$B$1:$F$65,'Base de Dados P1'!$A56,FALSE)=0,,HLOOKUP(E$2,'Database Geral'!$B$1:$F$65,'Base de Dados P1'!$A56,FALSE)),"")</f>
        <v>12.08019</v>
      </c>
      <c r="F56" s="20">
        <f>IFERROR(IF(HLOOKUP(F$2,'Database Geral'!$B$1:$F$65,'Base de Dados P1'!$A56,FALSE)=0,,HLOOKUP(F$2,'Database Geral'!$B$1:$F$65,'Base de Dados P1'!$A56,FALSE)),"")</f>
        <v>1.2218191529610749</v>
      </c>
      <c r="H56" s="39">
        <f>'Database Geral'!G55</f>
        <v>2078938</v>
      </c>
    </row>
    <row r="57" spans="1:8" ht="15" customHeight="1" x14ac:dyDescent="0.25">
      <c r="A57" s="14">
        <v>56</v>
      </c>
      <c r="B57" s="18" t="s">
        <v>54</v>
      </c>
      <c r="C57" s="19">
        <f>IFERROR(IF(HLOOKUP(C$2,'Database Geral'!$B$1:$F$65,'Base de Dados P1'!$A57,FALSE)=0,,HLOOKUP(C$2,'Database Geral'!$B$1:$F$65,'Base de Dados P1'!$A57,FALSE)),"")</f>
        <v>0.76160001754760698</v>
      </c>
      <c r="D57" s="31">
        <f>IFERROR(IF(HLOOKUP(D$2,'Database Geral'!$B$1:$F$65,'Base de Dados P1'!$A57,FALSE)=0,,HLOOKUP(D$2,'Database Geral'!$B$1:$F$65,'Base de Dados P1'!$A57,FALSE)),"")</f>
        <v>45.66513050216529</v>
      </c>
      <c r="E57" s="31">
        <f>IFERROR(IF(HLOOKUP(E$2,'Database Geral'!$B$1:$F$65,'Base de Dados P1'!$A57,FALSE)=0,,HLOOKUP(E$2,'Database Geral'!$B$1:$F$65,'Base de Dados P1'!$A57,FALSE)),"")</f>
        <v>18.044370000000001</v>
      </c>
      <c r="F57" s="20">
        <f>IFERROR(IF(HLOOKUP(F$2,'Database Geral'!$B$1:$F$65,'Base de Dados P1'!$A57,FALSE)=0,,HLOOKUP(F$2,'Database Geral'!$B$1:$F$65,'Base de Dados P1'!$A57,FALSE)),"")</f>
        <v>3.0397470850071215</v>
      </c>
      <c r="H57" s="39">
        <f>'Database Geral'!G56</f>
        <v>59308690</v>
      </c>
    </row>
    <row r="58" spans="1:8" ht="15" customHeight="1" x14ac:dyDescent="0.25">
      <c r="A58" s="14">
        <v>57</v>
      </c>
      <c r="B58" s="18" t="s">
        <v>55</v>
      </c>
      <c r="C58" s="19">
        <f>IFERROR(IF(HLOOKUP(C$2,'Database Geral'!$B$1:$F$65,'Base de Dados P1'!$A58,FALSE)=0,,HLOOKUP(C$2,'Database Geral'!$B$1:$F$65,'Base de Dados P1'!$A58,FALSE)),"")</f>
        <v>1.3952000141143801</v>
      </c>
      <c r="D58" s="31">
        <f>IFERROR(IF(HLOOKUP(D$2,'Database Geral'!$B$1:$F$65,'Base de Dados P1'!$A58,FALSE)=0,,HLOOKUP(D$2,'Database Geral'!$B$1:$F$65,'Base de Dados P1'!$A58,FALSE)),"")</f>
        <v>21.961482217125013</v>
      </c>
      <c r="E58" s="31">
        <f>IFERROR(IF(HLOOKUP(E$2,'Database Geral'!$B$1:$F$65,'Base de Dados P1'!$A58,FALSE)=0,,HLOOKUP(E$2,'Database Geral'!$B$1:$F$65,'Base de Dados P1'!$A58,FALSE)),"")</f>
        <v>10.563980000000001</v>
      </c>
      <c r="F58" s="20">
        <f>IFERROR(IF(HLOOKUP(F$2,'Database Geral'!$B$1:$F$65,'Base de Dados P1'!$A58,FALSE)=0,,HLOOKUP(F$2,'Database Geral'!$B$1:$F$65,'Base de Dados P1'!$A58,FALSE)),"")</f>
        <v>1.3804782633314971E-2</v>
      </c>
      <c r="H58" s="39">
        <f>'Database Geral'!G57</f>
        <v>46754778</v>
      </c>
    </row>
    <row r="59" spans="1:8" ht="15" customHeight="1" x14ac:dyDescent="0.25">
      <c r="A59" s="14">
        <v>58</v>
      </c>
      <c r="B59" s="18" t="s">
        <v>56</v>
      </c>
      <c r="C59" s="19">
        <f>IFERROR(IF(HLOOKUP(C$2,'Database Geral'!$B$1:$F$65,'Base de Dados P1'!$A59,FALSE)=0,,HLOOKUP(C$2,'Database Geral'!$B$1:$F$65,'Base de Dados P1'!$A59,FALSE)),"")</f>
        <v>0.15663999319076499</v>
      </c>
      <c r="D59" s="31">
        <f>IFERROR(IF(HLOOKUP(D$2,'Database Geral'!$B$1:$F$65,'Base de Dados P1'!$A59,FALSE)=0,,HLOOKUP(D$2,'Database Geral'!$B$1:$F$65,'Base de Dados P1'!$A59,FALSE)),"")</f>
        <v>37.433780799783214</v>
      </c>
      <c r="E59" s="31">
        <f>IFERROR(IF(HLOOKUP(E$2,'Database Geral'!$B$1:$F$65,'Base de Dados P1'!$A59,FALSE)=0,,HLOOKUP(E$2,'Database Geral'!$B$1:$F$65,'Base de Dados P1'!$A59,FALSE)),"")</f>
        <v>8.6056600000000003</v>
      </c>
      <c r="F59" s="20">
        <f>IFERROR(IF(HLOOKUP(F$2,'Database Geral'!$B$1:$F$65,'Base de Dados P1'!$A59,FALSE)=0,,HLOOKUP(F$2,'Database Geral'!$B$1:$F$65,'Base de Dados P1'!$A59,FALSE)),"")</f>
        <v>8.0159594057522412</v>
      </c>
      <c r="H59" s="39">
        <f>'Database Geral'!G58</f>
        <v>21413249</v>
      </c>
    </row>
    <row r="60" spans="1:8" ht="15" customHeight="1" x14ac:dyDescent="0.25">
      <c r="A60" s="14">
        <v>59</v>
      </c>
      <c r="B60" s="18" t="s">
        <v>57</v>
      </c>
      <c r="C60" s="19">
        <f>IFERROR(IF(HLOOKUP(C$2,'Database Geral'!$B$1:$F$65,'Base de Dados P1'!$A60,FALSE)=0,,HLOOKUP(C$2,'Database Geral'!$B$1:$F$65,'Base de Dados P1'!$A60,FALSE)),"")</f>
        <v>3.3919401168823202</v>
      </c>
      <c r="D60" s="31">
        <f>IFERROR(IF(HLOOKUP(D$2,'Database Geral'!$B$1:$F$65,'Base de Dados P1'!$A60,FALSE)=0,,HLOOKUP(D$2,'Database Geral'!$B$1:$F$65,'Base de Dados P1'!$A60,FALSE)),"")</f>
        <v>25.283074889864963</v>
      </c>
      <c r="E60" s="31">
        <f>IFERROR(IF(HLOOKUP(E$2,'Database Geral'!$B$1:$F$65,'Base de Dados P1'!$A60,FALSE)=0,,HLOOKUP(E$2,'Database Geral'!$B$1:$F$65,'Base de Dados P1'!$A60,FALSE)),"")</f>
        <v>13.34554</v>
      </c>
      <c r="F60" s="20">
        <f>IFERROR(IF(HLOOKUP(F$2,'Database Geral'!$B$1:$F$65,'Base de Dados P1'!$A60,FALSE)=0,,HLOOKUP(F$2,'Database Geral'!$B$1:$F$65,'Base de Dados P1'!$A60,FALSE)),"")</f>
        <v>5.9889271333556593</v>
      </c>
      <c r="H60" s="39">
        <f>'Database Geral'!G59</f>
        <v>10099265</v>
      </c>
    </row>
    <row r="61" spans="1:8" ht="15" customHeight="1" x14ac:dyDescent="0.25">
      <c r="A61" s="14">
        <v>60</v>
      </c>
      <c r="B61" s="18" t="s">
        <v>58</v>
      </c>
      <c r="C61" s="19">
        <f>IFERROR(IF(HLOOKUP(C$2,'Database Geral'!$B$1:$F$65,'Base de Dados P1'!$A61,FALSE)=0,,HLOOKUP(C$2,'Database Geral'!$B$1:$F$65,'Base de Dados P1'!$A61,FALSE)),"")</f>
        <v>8.9139997959137005E-2</v>
      </c>
      <c r="D61" s="31">
        <f>IFERROR(IF(HLOOKUP(D$2,'Database Geral'!$B$1:$F$65,'Base de Dados P1'!$A61,FALSE)=0,,HLOOKUP(D$2,'Database Geral'!$B$1:$F$65,'Base de Dados P1'!$A61,FALSE)),"")</f>
        <v>59.084970450040728</v>
      </c>
      <c r="E61" s="31">
        <f>IFERROR(IF(HLOOKUP(E$2,'Database Geral'!$B$1:$F$65,'Base de Dados P1'!$A61,FALSE)=0,,HLOOKUP(E$2,'Database Geral'!$B$1:$F$65,'Base de Dados P1'!$A61,FALSE)),"")</f>
        <v>15.33145</v>
      </c>
      <c r="F61" s="20">
        <f>IFERROR(IF(HLOOKUP(F$2,'Database Geral'!$B$1:$F$65,'Base de Dados P1'!$A61,FALSE)=0,,HLOOKUP(F$2,'Database Geral'!$B$1:$F$65,'Base de Dados P1'!$A61,FALSE)),"")</f>
        <v>6.5000000000047891</v>
      </c>
      <c r="H61" s="39">
        <f>'Database Geral'!G60</f>
        <v>9537645</v>
      </c>
    </row>
    <row r="62" spans="1:8" ht="15" customHeight="1" x14ac:dyDescent="0.25">
      <c r="A62" s="14">
        <v>61</v>
      </c>
      <c r="B62" s="18" t="s">
        <v>59</v>
      </c>
      <c r="C62" s="19">
        <f>IFERROR(IF(HLOOKUP(C$2,'Database Geral'!$B$1:$F$65,'Base de Dados P1'!$A62,FALSE)=0,,HLOOKUP(C$2,'Database Geral'!$B$1:$F$65,'Base de Dados P1'!$A62,FALSE)),"")</f>
        <v>0.51616001129150402</v>
      </c>
      <c r="D62" s="31">
        <f>IFERROR(IF(HLOOKUP(D$2,'Database Geral'!$B$1:$F$65,'Base de Dados P1'!$A62,FALSE)=0,,HLOOKUP(D$2,'Database Geral'!$B$1:$F$65,'Base de Dados P1'!$A62,FALSE)),"")</f>
        <v>86.154025919706541</v>
      </c>
      <c r="E62" s="31">
        <f>IFERROR(IF(HLOOKUP(E$2,'Database Geral'!$B$1:$F$65,'Base de Dados P1'!$A62,FALSE)=0,,HLOOKUP(E$2,'Database Geral'!$B$1:$F$65,'Base de Dados P1'!$A62,FALSE)),"")</f>
        <v>19.648009999999999</v>
      </c>
      <c r="F62" s="20">
        <f>IFERROR(IF(HLOOKUP(F$2,'Database Geral'!$B$1:$F$65,'Base de Dados P1'!$A62,FALSE)=0,,HLOOKUP(F$2,'Database Geral'!$B$1:$F$65,'Base de Dados P1'!$A62,FALSE)),"")</f>
        <v>6.3588860812991754</v>
      </c>
      <c r="H62" s="39">
        <f>'Database Geral'!G61</f>
        <v>59734218</v>
      </c>
    </row>
    <row r="63" spans="1:8" ht="15" customHeight="1" x14ac:dyDescent="0.25">
      <c r="A63" s="14">
        <v>62</v>
      </c>
      <c r="B63" s="18" t="s">
        <v>60</v>
      </c>
      <c r="C63" s="19">
        <f>IFERROR(IF(HLOOKUP(C$2,'Database Geral'!$B$1:$F$65,'Base de Dados P1'!$A63,FALSE)=0,,HLOOKUP(C$2,'Database Geral'!$B$1:$F$65,'Base de Dados P1'!$A63,FALSE)),"")</f>
        <v>0.253490000963211</v>
      </c>
      <c r="D63" s="31">
        <f>IFERROR(IF(HLOOKUP(D$2,'Database Geral'!$B$1:$F$65,'Base de Dados P1'!$A63,FALSE)=0,,HLOOKUP(D$2,'Database Geral'!$B$1:$F$65,'Base de Dados P1'!$A63,FALSE)),"")</f>
        <v>76.228799727827351</v>
      </c>
      <c r="E63" s="31">
        <f>IFERROR(IF(HLOOKUP(E$2,'Database Geral'!$B$1:$F$65,'Base de Dados P1'!$A63,FALSE)=0,,HLOOKUP(E$2,'Database Geral'!$B$1:$F$65,'Base de Dados P1'!$A63,FALSE)),"")</f>
        <v>19.615760000000002</v>
      </c>
      <c r="F63" s="20">
        <f>IFERROR(IF(HLOOKUP(F$2,'Database Geral'!$B$1:$F$65,'Base de Dados P1'!$A63,FALSE)=0,,HLOOKUP(F$2,'Database Geral'!$B$1:$F$65,'Base de Dados P1'!$A63,FALSE)),"")</f>
        <v>3.9956787703640231</v>
      </c>
      <c r="H63" s="39">
        <f>'Database Geral'!G62</f>
        <v>8278724</v>
      </c>
    </row>
    <row r="64" spans="1:8" ht="15" customHeight="1" x14ac:dyDescent="0.25">
      <c r="A64" s="14">
        <v>63</v>
      </c>
      <c r="B64" s="18" t="s">
        <v>61</v>
      </c>
      <c r="C64" s="19">
        <f>IFERROR(IF(HLOOKUP(C$2,'Database Geral'!$B$1:$F$65,'Base de Dados P1'!$A64,FALSE)=0,,HLOOKUP(C$2,'Database Geral'!$B$1:$F$65,'Base de Dados P1'!$A64,FALSE)),"")</f>
        <v>0.55794000625610396</v>
      </c>
      <c r="D64" s="31">
        <f>IFERROR(IF(HLOOKUP(D$2,'Database Geral'!$B$1:$F$65,'Base de Dados P1'!$A64,FALSE)=0,,HLOOKUP(D$2,'Database Geral'!$B$1:$F$65,'Base de Dados P1'!$A64,FALSE)),"")</f>
        <v>100.33839946629502</v>
      </c>
      <c r="E64" s="31">
        <f>IFERROR(IF(HLOOKUP(E$2,'Database Geral'!$B$1:$F$65,'Base de Dados P1'!$A64,FALSE)=0,,HLOOKUP(E$2,'Database Geral'!$B$1:$F$65,'Base de Dados P1'!$A64,FALSE)),"")</f>
        <v>13.517569999999999</v>
      </c>
      <c r="F64" s="20">
        <f>IFERROR(IF(HLOOKUP(F$2,'Database Geral'!$B$1:$F$65,'Base de Dados P1'!$A64,FALSE)=0,,HLOOKUP(F$2,'Database Geral'!$B$1:$F$65,'Base de Dados P1'!$A64,FALSE)),"")</f>
        <v>5.1703429744023737</v>
      </c>
      <c r="H64" s="39">
        <f>'Database Geral'!G63</f>
        <v>45741007</v>
      </c>
    </row>
    <row r="65" spans="1:8" ht="15" customHeight="1" x14ac:dyDescent="0.25">
      <c r="A65" s="14">
        <v>64</v>
      </c>
      <c r="B65" s="18" t="s">
        <v>62</v>
      </c>
      <c r="C65" s="19">
        <f>IFERROR(IF(HLOOKUP(C$2,'Database Geral'!$B$1:$F$65,'Base de Dados P1'!$A65,FALSE)=0,,HLOOKUP(C$2,'Database Geral'!$B$1:$F$65,'Base de Dados P1'!$A65,FALSE)),"")</f>
        <v>1.77447998523712</v>
      </c>
      <c r="D65" s="31">
        <f>IFERROR(IF(HLOOKUP(D$2,'Database Geral'!$B$1:$F$65,'Base de Dados P1'!$A65,FALSE)=0,,HLOOKUP(D$2,'Database Geral'!$B$1:$F$65,'Base de Dados P1'!$A65,FALSE)),"")</f>
        <v>26.666562470082294</v>
      </c>
      <c r="E65" s="31">
        <f>IFERROR(IF(HLOOKUP(E$2,'Database Geral'!$B$1:$F$65,'Base de Dados P1'!$A65,FALSE)=0,,HLOOKUP(E$2,'Database Geral'!$B$1:$F$65,'Base de Dados P1'!$A65,FALSE)),"")</f>
        <v>12.960369999999999</v>
      </c>
      <c r="F65" s="20">
        <f>IFERROR(IF(HLOOKUP(F$2,'Database Geral'!$B$1:$F$65,'Base de Dados P1'!$A65,FALSE)=0,,HLOOKUP(F$2,'Database Geral'!$B$1:$F$65,'Base de Dados P1'!$A65,FALSE)),"")</f>
        <v>1.9113776646944416</v>
      </c>
      <c r="H65" s="39">
        <f>'Database Geral'!G64</f>
        <v>67886011</v>
      </c>
    </row>
    <row r="66" spans="1:8" ht="15" customHeight="1" thickBot="1" x14ac:dyDescent="0.3">
      <c r="A66" s="23">
        <v>65</v>
      </c>
      <c r="B66" s="24" t="s">
        <v>63</v>
      </c>
      <c r="C66" s="25">
        <f>IFERROR(IF(HLOOKUP(C$2,'Database Geral'!$B$1:$F$65,'Base de Dados P1'!$A66,FALSE)=0,,HLOOKUP(C$2,'Database Geral'!$B$1:$F$65,'Base de Dados P1'!$A66,FALSE)),"")</f>
        <v>2.73827004432678</v>
      </c>
      <c r="D66" s="32">
        <f>IFERROR(IF(HLOOKUP(D$2,'Database Geral'!$B$1:$F$65,'Base de Dados P1'!$A66,FALSE)=0,,HLOOKUP(D$2,'Database Geral'!$B$1:$F$65,'Base de Dados P1'!$A66,FALSE)),"")</f>
        <v>29.568269020866804</v>
      </c>
      <c r="E66" s="32">
        <f>IFERROR(IF(HLOOKUP(E$2,'Database Geral'!$B$1:$F$65,'Base de Dados P1'!$A66,FALSE)=0,,HLOOKUP(E$2,'Database Geral'!$B$1:$F$65,'Base de Dados P1'!$A66,FALSE)),"")</f>
        <v>13.037570000000001</v>
      </c>
      <c r="F66" s="26">
        <f>IFERROR(IF(HLOOKUP(F$2,'Database Geral'!$B$1:$F$65,'Base de Dados P1'!$A66,FALSE)=0,,HLOOKUP(F$2,'Database Geral'!$B$1:$F$65,'Base de Dados P1'!$A66,FALSE)),"")</f>
        <v>2.5319203804648396</v>
      </c>
      <c r="H66" s="40">
        <f>'Database Geral'!G65</f>
        <v>331002651</v>
      </c>
    </row>
    <row r="67" spans="1:8" hidden="1" x14ac:dyDescent="0.25">
      <c r="B67" s="27"/>
    </row>
    <row r="68" spans="1:8" hidden="1" x14ac:dyDescent="0.25">
      <c r="B68" s="27"/>
    </row>
    <row r="69" spans="1:8" hidden="1" x14ac:dyDescent="0.25">
      <c r="B69" s="27"/>
    </row>
    <row r="70" spans="1:8" hidden="1" x14ac:dyDescent="0.25">
      <c r="B70" s="27"/>
    </row>
    <row r="71" spans="1:8" hidden="1" x14ac:dyDescent="0.25">
      <c r="B71" s="27"/>
    </row>
    <row r="72" spans="1:8" hidden="1" x14ac:dyDescent="0.25">
      <c r="B72" s="27"/>
    </row>
    <row r="73" spans="1:8" hidden="1" x14ac:dyDescent="0.25">
      <c r="B73" s="27"/>
    </row>
    <row r="74" spans="1:8" hidden="1" x14ac:dyDescent="0.25">
      <c r="B74" s="27"/>
    </row>
    <row r="75" spans="1:8" hidden="1" x14ac:dyDescent="0.25">
      <c r="B75" s="27"/>
    </row>
    <row r="76" spans="1:8" hidden="1" x14ac:dyDescent="0.25">
      <c r="B76" s="27"/>
    </row>
    <row r="77" spans="1:8" hidden="1" x14ac:dyDescent="0.25">
      <c r="B77" s="27"/>
    </row>
    <row r="78" spans="1:8" hidden="1" x14ac:dyDescent="0.25">
      <c r="B78" s="27"/>
    </row>
    <row r="79" spans="1:8" hidden="1" x14ac:dyDescent="0.25">
      <c r="B79" s="27"/>
    </row>
    <row r="80" spans="1:8" hidden="1" x14ac:dyDescent="0.25">
      <c r="B80" s="27"/>
    </row>
    <row r="81" spans="2:2" hidden="1" x14ac:dyDescent="0.25">
      <c r="B81" s="27"/>
    </row>
    <row r="82" spans="2:2" hidden="1" x14ac:dyDescent="0.25">
      <c r="B82" s="27"/>
    </row>
    <row r="83" spans="2:2" hidden="1" x14ac:dyDescent="0.25">
      <c r="B83" s="27"/>
    </row>
    <row r="84" spans="2:2" hidden="1" x14ac:dyDescent="0.25">
      <c r="B84" s="27"/>
    </row>
    <row r="85" spans="2:2" hidden="1" x14ac:dyDescent="0.25">
      <c r="B85" s="27"/>
    </row>
    <row r="86" spans="2:2" hidden="1" x14ac:dyDescent="0.25">
      <c r="B86" s="27"/>
    </row>
    <row r="87" spans="2:2" hidden="1" x14ac:dyDescent="0.25">
      <c r="B87" s="27"/>
    </row>
    <row r="88" spans="2:2" hidden="1" x14ac:dyDescent="0.25">
      <c r="B88" s="27"/>
    </row>
    <row r="89" spans="2:2" hidden="1" x14ac:dyDescent="0.25">
      <c r="B89" s="27"/>
    </row>
    <row r="90" spans="2:2" hidden="1" x14ac:dyDescent="0.25">
      <c r="B90" s="27"/>
    </row>
    <row r="91" spans="2:2" hidden="1" x14ac:dyDescent="0.25">
      <c r="B91" s="27"/>
    </row>
    <row r="92" spans="2:2" hidden="1" x14ac:dyDescent="0.25">
      <c r="B92" s="27"/>
    </row>
    <row r="93" spans="2:2" hidden="1" x14ac:dyDescent="0.25">
      <c r="B93" s="27"/>
    </row>
    <row r="94" spans="2:2" hidden="1" x14ac:dyDescent="0.25">
      <c r="B94" s="27"/>
    </row>
    <row r="95" spans="2:2" hidden="1" x14ac:dyDescent="0.25">
      <c r="B95" s="27"/>
    </row>
    <row r="96" spans="2:2" hidden="1" x14ac:dyDescent="0.25">
      <c r="B96" s="27"/>
    </row>
    <row r="97" spans="2:2" hidden="1" x14ac:dyDescent="0.25">
      <c r="B97" s="27"/>
    </row>
    <row r="98" spans="2:2" hidden="1" x14ac:dyDescent="0.25">
      <c r="B98" s="27"/>
    </row>
    <row r="99" spans="2:2" hidden="1" x14ac:dyDescent="0.25">
      <c r="B99" s="27"/>
    </row>
    <row r="100" spans="2:2" hidden="1" x14ac:dyDescent="0.25">
      <c r="B100" s="27"/>
    </row>
    <row r="101" spans="2:2" hidden="1" x14ac:dyDescent="0.25">
      <c r="B101" s="27"/>
    </row>
    <row r="102" spans="2:2" hidden="1" x14ac:dyDescent="0.25">
      <c r="B102" s="27"/>
    </row>
    <row r="103" spans="2:2" hidden="1" x14ac:dyDescent="0.25">
      <c r="B103" s="27"/>
    </row>
    <row r="104" spans="2:2" hidden="1" x14ac:dyDescent="0.25">
      <c r="B104" s="27"/>
    </row>
    <row r="105" spans="2:2" hidden="1" x14ac:dyDescent="0.25">
      <c r="B105" s="27"/>
    </row>
    <row r="106" spans="2:2" hidden="1" x14ac:dyDescent="0.25">
      <c r="B106" s="27"/>
    </row>
    <row r="107" spans="2:2" hidden="1" x14ac:dyDescent="0.25">
      <c r="B107" s="27"/>
    </row>
    <row r="108" spans="2:2" hidden="1" x14ac:dyDescent="0.25">
      <c r="B108" s="27"/>
    </row>
    <row r="109" spans="2:2" hidden="1" x14ac:dyDescent="0.25">
      <c r="B109" s="27"/>
    </row>
    <row r="110" spans="2:2" hidden="1" x14ac:dyDescent="0.25">
      <c r="B110" s="27"/>
    </row>
    <row r="111" spans="2:2" hidden="1" x14ac:dyDescent="0.25">
      <c r="B111" s="27"/>
    </row>
    <row r="112" spans="2:2" hidden="1" x14ac:dyDescent="0.25">
      <c r="B112" s="27"/>
    </row>
    <row r="113" spans="2:2" hidden="1" x14ac:dyDescent="0.25">
      <c r="B113" s="27"/>
    </row>
    <row r="114" spans="2:2" hidden="1" x14ac:dyDescent="0.25">
      <c r="B114" s="27"/>
    </row>
    <row r="115" spans="2:2" hidden="1" x14ac:dyDescent="0.25">
      <c r="B115" s="27"/>
    </row>
    <row r="116" spans="2:2" hidden="1" x14ac:dyDescent="0.25">
      <c r="B116" s="27"/>
    </row>
    <row r="117" spans="2:2" hidden="1" x14ac:dyDescent="0.25">
      <c r="B117" s="27"/>
    </row>
    <row r="118" spans="2:2" hidden="1" x14ac:dyDescent="0.25">
      <c r="B118" s="27"/>
    </row>
    <row r="119" spans="2:2" hidden="1" x14ac:dyDescent="0.25">
      <c r="B119" s="27"/>
    </row>
    <row r="120" spans="2:2" hidden="1" x14ac:dyDescent="0.25">
      <c r="B120" s="27"/>
    </row>
    <row r="121" spans="2:2" hidden="1" x14ac:dyDescent="0.25">
      <c r="B121" s="27"/>
    </row>
    <row r="122" spans="2:2" hidden="1" x14ac:dyDescent="0.25">
      <c r="B122" s="27"/>
    </row>
    <row r="123" spans="2:2" hidden="1" x14ac:dyDescent="0.25">
      <c r="B123" s="27"/>
    </row>
    <row r="124" spans="2:2" hidden="1" x14ac:dyDescent="0.25">
      <c r="B124" s="27"/>
    </row>
    <row r="125" spans="2:2" hidden="1" x14ac:dyDescent="0.25">
      <c r="B125" s="27"/>
    </row>
    <row r="126" spans="2:2" hidden="1" x14ac:dyDescent="0.25">
      <c r="B126" s="27"/>
    </row>
    <row r="127" spans="2:2" hidden="1" x14ac:dyDescent="0.25">
      <c r="B127" s="27"/>
    </row>
    <row r="128" spans="2:2" hidden="1" x14ac:dyDescent="0.25">
      <c r="B128" s="27"/>
    </row>
    <row r="129" spans="2:2" hidden="1" x14ac:dyDescent="0.25">
      <c r="B129" s="27"/>
    </row>
    <row r="130" spans="2:2" hidden="1" x14ac:dyDescent="0.25">
      <c r="B130" s="27"/>
    </row>
    <row r="131" spans="2:2" hidden="1" x14ac:dyDescent="0.25">
      <c r="B131" s="27"/>
    </row>
    <row r="132" spans="2:2" hidden="1" x14ac:dyDescent="0.25">
      <c r="B132" s="27"/>
    </row>
    <row r="133" spans="2:2" hidden="1" x14ac:dyDescent="0.25">
      <c r="B133" s="27"/>
    </row>
    <row r="134" spans="2:2" hidden="1" x14ac:dyDescent="0.25">
      <c r="B134" s="27"/>
    </row>
    <row r="135" spans="2:2" hidden="1" x14ac:dyDescent="0.25">
      <c r="B135" s="27"/>
    </row>
    <row r="136" spans="2:2" hidden="1" x14ac:dyDescent="0.25">
      <c r="B136" s="27"/>
    </row>
    <row r="137" spans="2:2" hidden="1" x14ac:dyDescent="0.25">
      <c r="B137" s="27"/>
    </row>
    <row r="138" spans="2:2" hidden="1" x14ac:dyDescent="0.25">
      <c r="B138" s="27"/>
    </row>
    <row r="139" spans="2:2" hidden="1" x14ac:dyDescent="0.25">
      <c r="B139" s="27"/>
    </row>
    <row r="140" spans="2:2" hidden="1" x14ac:dyDescent="0.25">
      <c r="B140" s="27"/>
    </row>
    <row r="141" spans="2:2" hidden="1" x14ac:dyDescent="0.25">
      <c r="B141" s="27"/>
    </row>
    <row r="142" spans="2:2" hidden="1" x14ac:dyDescent="0.25">
      <c r="B142" s="27"/>
    </row>
    <row r="143" spans="2:2" hidden="1" x14ac:dyDescent="0.25">
      <c r="B143" s="27"/>
    </row>
    <row r="144" spans="2:2" hidden="1" x14ac:dyDescent="0.25">
      <c r="B144" s="27"/>
    </row>
    <row r="145" spans="2:2" hidden="1" x14ac:dyDescent="0.25">
      <c r="B145" s="27"/>
    </row>
    <row r="146" spans="2:2" hidden="1" x14ac:dyDescent="0.25">
      <c r="B146" s="27"/>
    </row>
    <row r="147" spans="2:2" hidden="1" x14ac:dyDescent="0.25">
      <c r="B147" s="27"/>
    </row>
    <row r="148" spans="2:2" hidden="1" x14ac:dyDescent="0.25">
      <c r="B148" s="27"/>
    </row>
    <row r="149" spans="2:2" hidden="1" x14ac:dyDescent="0.25">
      <c r="B149" s="27"/>
    </row>
    <row r="150" spans="2:2" hidden="1" x14ac:dyDescent="0.25">
      <c r="B150" s="27"/>
    </row>
    <row r="151" spans="2:2" hidden="1" x14ac:dyDescent="0.25">
      <c r="B151" s="27"/>
    </row>
    <row r="152" spans="2:2" hidden="1" x14ac:dyDescent="0.25">
      <c r="B152" s="27"/>
    </row>
    <row r="153" spans="2:2" hidden="1" x14ac:dyDescent="0.25">
      <c r="B153" s="27"/>
    </row>
    <row r="154" spans="2:2" hidden="1" x14ac:dyDescent="0.25">
      <c r="B154" s="27"/>
    </row>
    <row r="155" spans="2:2" hidden="1" x14ac:dyDescent="0.25">
      <c r="B155" s="27"/>
    </row>
    <row r="156" spans="2:2" hidden="1" x14ac:dyDescent="0.25">
      <c r="B156" s="27"/>
    </row>
    <row r="157" spans="2:2" hidden="1" x14ac:dyDescent="0.25">
      <c r="B157" s="27"/>
    </row>
    <row r="158" spans="2:2" hidden="1" x14ac:dyDescent="0.25">
      <c r="B158" s="27"/>
    </row>
    <row r="159" spans="2:2" hidden="1" x14ac:dyDescent="0.25">
      <c r="B159" s="27"/>
    </row>
    <row r="160" spans="2:2" hidden="1" x14ac:dyDescent="0.25">
      <c r="B160" s="27"/>
    </row>
    <row r="161" spans="2:2" hidden="1" x14ac:dyDescent="0.25">
      <c r="B161" s="27"/>
    </row>
    <row r="162" spans="2:2" hidden="1" x14ac:dyDescent="0.25">
      <c r="B162" s="27"/>
    </row>
    <row r="163" spans="2:2" hidden="1" x14ac:dyDescent="0.25">
      <c r="B163" s="27"/>
    </row>
    <row r="164" spans="2:2" hidden="1" x14ac:dyDescent="0.25">
      <c r="B164" s="27"/>
    </row>
    <row r="165" spans="2:2" hidden="1" x14ac:dyDescent="0.25">
      <c r="B165" s="27"/>
    </row>
    <row r="166" spans="2:2" hidden="1" x14ac:dyDescent="0.25">
      <c r="B166" s="27"/>
    </row>
    <row r="167" spans="2:2" hidden="1" x14ac:dyDescent="0.25">
      <c r="B167" s="27"/>
    </row>
    <row r="168" spans="2:2" hidden="1" x14ac:dyDescent="0.25">
      <c r="B168" s="27"/>
    </row>
    <row r="169" spans="2:2" hidden="1" x14ac:dyDescent="0.25">
      <c r="B169" s="27"/>
    </row>
    <row r="170" spans="2:2" hidden="1" x14ac:dyDescent="0.25">
      <c r="B170" s="27"/>
    </row>
    <row r="171" spans="2:2" hidden="1" x14ac:dyDescent="0.25">
      <c r="B171" s="27"/>
    </row>
    <row r="172" spans="2:2" hidden="1" x14ac:dyDescent="0.25">
      <c r="B172" s="27"/>
    </row>
    <row r="173" spans="2:2" hidden="1" x14ac:dyDescent="0.25">
      <c r="B173" s="27"/>
    </row>
    <row r="174" spans="2:2" hidden="1" x14ac:dyDescent="0.25">
      <c r="B174" s="27"/>
    </row>
    <row r="175" spans="2:2" hidden="1" x14ac:dyDescent="0.25">
      <c r="B175" s="27"/>
    </row>
    <row r="176" spans="2:2" hidden="1" x14ac:dyDescent="0.25">
      <c r="B176" s="27"/>
    </row>
    <row r="177" spans="2:2" hidden="1" x14ac:dyDescent="0.25">
      <c r="B177" s="27"/>
    </row>
    <row r="178" spans="2:2" hidden="1" x14ac:dyDescent="0.25">
      <c r="B178" s="27"/>
    </row>
    <row r="179" spans="2:2" hidden="1" x14ac:dyDescent="0.25">
      <c r="B179" s="27"/>
    </row>
    <row r="180" spans="2:2" hidden="1" x14ac:dyDescent="0.25">
      <c r="B180" s="27"/>
    </row>
    <row r="181" spans="2:2" hidden="1" x14ac:dyDescent="0.25">
      <c r="B181" s="27"/>
    </row>
    <row r="182" spans="2:2" hidden="1" x14ac:dyDescent="0.25">
      <c r="B182" s="27"/>
    </row>
    <row r="183" spans="2:2" hidden="1" x14ac:dyDescent="0.25">
      <c r="B183" s="27"/>
    </row>
    <row r="184" spans="2:2" hidden="1" x14ac:dyDescent="0.25">
      <c r="B184" s="27"/>
    </row>
    <row r="185" spans="2:2" hidden="1" x14ac:dyDescent="0.25">
      <c r="B185" s="27"/>
    </row>
    <row r="186" spans="2:2" hidden="1" x14ac:dyDescent="0.25">
      <c r="B186" s="27"/>
    </row>
    <row r="187" spans="2:2" hidden="1" x14ac:dyDescent="0.25">
      <c r="B187" s="27"/>
    </row>
    <row r="188" spans="2:2" hidden="1" x14ac:dyDescent="0.25">
      <c r="B188" s="27"/>
    </row>
    <row r="189" spans="2:2" hidden="1" x14ac:dyDescent="0.25">
      <c r="B189" s="27"/>
    </row>
    <row r="190" spans="2:2" hidden="1" x14ac:dyDescent="0.25">
      <c r="B190" s="27"/>
    </row>
    <row r="191" spans="2:2" hidden="1" x14ac:dyDescent="0.25">
      <c r="B191" s="27"/>
    </row>
    <row r="192" spans="2:2" hidden="1" x14ac:dyDescent="0.25">
      <c r="B192" s="27"/>
    </row>
    <row r="193" spans="2:2" hidden="1" x14ac:dyDescent="0.25">
      <c r="B193" s="27"/>
    </row>
    <row r="194" spans="2:2" hidden="1" x14ac:dyDescent="0.25">
      <c r="B194" s="27"/>
    </row>
    <row r="195" spans="2:2" hidden="1" x14ac:dyDescent="0.25">
      <c r="B195" s="27"/>
    </row>
    <row r="196" spans="2:2" hidden="1" x14ac:dyDescent="0.25">
      <c r="B196" s="27"/>
    </row>
    <row r="197" spans="2:2" hidden="1" x14ac:dyDescent="0.25">
      <c r="B197" s="27"/>
    </row>
    <row r="198" spans="2:2" hidden="1" x14ac:dyDescent="0.25">
      <c r="B198" s="27"/>
    </row>
    <row r="199" spans="2:2" hidden="1" x14ac:dyDescent="0.25">
      <c r="B199" s="27"/>
    </row>
    <row r="200" spans="2:2" hidden="1" x14ac:dyDescent="0.25">
      <c r="B200" s="27"/>
    </row>
    <row r="201" spans="2:2" hidden="1" x14ac:dyDescent="0.25">
      <c r="B201" s="27"/>
    </row>
    <row r="202" spans="2:2" hidden="1" x14ac:dyDescent="0.25">
      <c r="B202" s="27"/>
    </row>
    <row r="203" spans="2:2" hidden="1" x14ac:dyDescent="0.25">
      <c r="B203" s="27"/>
    </row>
    <row r="204" spans="2:2" hidden="1" x14ac:dyDescent="0.25">
      <c r="B204" s="27"/>
    </row>
    <row r="205" spans="2:2" hidden="1" x14ac:dyDescent="0.25">
      <c r="B205" s="27"/>
    </row>
    <row r="206" spans="2:2" hidden="1" x14ac:dyDescent="0.25">
      <c r="B206" s="27"/>
    </row>
    <row r="207" spans="2:2" hidden="1" x14ac:dyDescent="0.25">
      <c r="B207" s="27"/>
    </row>
    <row r="208" spans="2:2" hidden="1" x14ac:dyDescent="0.25">
      <c r="B208" s="27"/>
    </row>
    <row r="209" spans="2:2" hidden="1" x14ac:dyDescent="0.25">
      <c r="B209" s="27"/>
    </row>
    <row r="210" spans="2:2" hidden="1" x14ac:dyDescent="0.25">
      <c r="B210" s="27"/>
    </row>
    <row r="211" spans="2:2" hidden="1" x14ac:dyDescent="0.25">
      <c r="B211" s="27"/>
    </row>
    <row r="212" spans="2:2" hidden="1" x14ac:dyDescent="0.25">
      <c r="B212" s="27"/>
    </row>
    <row r="213" spans="2:2" hidden="1" x14ac:dyDescent="0.25">
      <c r="B213" s="27"/>
    </row>
    <row r="214" spans="2:2" hidden="1" x14ac:dyDescent="0.25">
      <c r="B214" s="27"/>
    </row>
    <row r="215" spans="2:2" hidden="1" x14ac:dyDescent="0.25">
      <c r="B215" s="27"/>
    </row>
    <row r="216" spans="2:2" hidden="1" x14ac:dyDescent="0.25">
      <c r="B216" s="27"/>
    </row>
    <row r="217" spans="2:2" hidden="1" x14ac:dyDescent="0.25">
      <c r="B217" s="27"/>
    </row>
  </sheetData>
  <sheetProtection algorithmName="SHA-512" hashValue="JXsptbeEqKArfukHI+io8SRFG5Blr8BvpKFQ4S5gdFCoyp6cjrNlHgICS5J3BySz6t37lZQEuuGqfq0OYAjvUQ==" saltValue="D7kKeOA/zxGeD0faaUBXSw==" spinCount="100000" sheet="1" objects="1" scenarios="1" selectLockedCells="1"/>
  <mergeCells count="9">
    <mergeCell ref="J23:U24"/>
    <mergeCell ref="H1:H2"/>
    <mergeCell ref="B1:B2"/>
    <mergeCell ref="S21:U22"/>
    <mergeCell ref="J5:U12"/>
    <mergeCell ref="J1:K1"/>
    <mergeCell ref="L1:U3"/>
    <mergeCell ref="L4:U4"/>
    <mergeCell ref="J2:K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155"/>
  <sheetViews>
    <sheetView tabSelected="1" topLeftCell="O15" zoomScale="110" zoomScaleNormal="110" workbookViewId="0">
      <selection activeCell="P47" sqref="P47"/>
    </sheetView>
  </sheetViews>
  <sheetFormatPr defaultRowHeight="15" x14ac:dyDescent="0.25"/>
  <cols>
    <col min="1" max="1" width="16.5703125" style="78" customWidth="1"/>
    <col min="2" max="2" width="16.140625" style="78" customWidth="1"/>
    <col min="3" max="3" width="10.5703125" style="78" customWidth="1"/>
    <col min="4" max="4" width="23.42578125" style="78" bestFit="1" customWidth="1"/>
    <col min="5" max="5" width="14.140625" style="78" bestFit="1" customWidth="1"/>
    <col min="6" max="6" width="16.85546875" style="78" bestFit="1" customWidth="1"/>
    <col min="7" max="7" width="12.7109375" style="78" bestFit="1" customWidth="1"/>
    <col min="8" max="8" width="6.7109375" style="78" customWidth="1"/>
    <col min="9" max="9" width="11.7109375" style="78" customWidth="1"/>
    <col min="10" max="10" width="21.28515625" style="78" customWidth="1"/>
    <col min="11" max="11" width="10.28515625" style="78" customWidth="1"/>
    <col min="12" max="12" width="19.42578125" style="78" customWidth="1"/>
    <col min="13" max="13" width="15.7109375" style="78" bestFit="1" customWidth="1"/>
    <col min="14" max="14" width="11.140625" style="78" customWidth="1"/>
    <col min="15" max="15" width="19.85546875" style="78" customWidth="1"/>
    <col min="16" max="16" width="14.7109375" style="78" bestFit="1" customWidth="1"/>
    <col min="17" max="17" width="8.42578125" style="78" customWidth="1"/>
    <col min="18" max="18" width="10.28515625" style="78" customWidth="1"/>
    <col min="19" max="19" width="16.140625" style="78" bestFit="1" customWidth="1"/>
    <col min="20" max="20" width="14.5703125" style="78" bestFit="1" customWidth="1"/>
    <col min="21" max="21" width="9.140625" style="78" customWidth="1"/>
    <col min="22" max="22" width="33.28515625" style="78" bestFit="1" customWidth="1"/>
    <col min="23" max="23" width="8.42578125" style="78" bestFit="1" customWidth="1"/>
    <col min="24" max="24" width="9.7109375" style="78" bestFit="1" customWidth="1"/>
    <col min="25" max="27" width="8.42578125" style="78" bestFit="1" customWidth="1"/>
    <col min="28" max="28" width="13" style="78" bestFit="1" customWidth="1"/>
    <col min="29" max="29" width="9.7109375" style="78" bestFit="1" customWidth="1"/>
    <col min="30" max="32" width="11.7109375" style="78" bestFit="1" customWidth="1"/>
    <col min="33" max="34" width="9.7109375" style="78" bestFit="1" customWidth="1"/>
    <col min="35" max="35" width="8.42578125" style="78" bestFit="1" customWidth="1"/>
    <col min="36" max="36" width="14.42578125" style="78" bestFit="1" customWidth="1"/>
    <col min="37" max="37" width="9.28515625" style="78" bestFit="1" customWidth="1"/>
    <col min="38" max="38" width="9.7109375" style="78" bestFit="1" customWidth="1"/>
    <col min="39" max="41" width="11.7109375" style="78" bestFit="1" customWidth="1"/>
    <col min="42" max="43" width="9.28515625" style="78" bestFit="1" customWidth="1"/>
    <col min="44" max="44" width="9.7109375" style="78" bestFit="1" customWidth="1"/>
    <col min="45" max="46" width="11.7109375" style="78" bestFit="1" customWidth="1"/>
    <col min="47" max="47" width="8.42578125" style="78" bestFit="1" customWidth="1"/>
    <col min="48" max="48" width="11.7109375" style="78" bestFit="1" customWidth="1"/>
    <col min="49" max="51" width="9.7109375" style="78" bestFit="1" customWidth="1"/>
    <col min="52" max="52" width="11.7109375" style="78" bestFit="1" customWidth="1"/>
    <col min="53" max="53" width="9.7109375" style="78" bestFit="1" customWidth="1"/>
    <col min="54" max="54" width="8.42578125" style="78" bestFit="1" customWidth="1"/>
    <col min="55" max="55" width="11.7109375" style="78" bestFit="1" customWidth="1"/>
    <col min="56" max="56" width="9.7109375" style="78" bestFit="1" customWidth="1"/>
    <col min="57" max="57" width="10.5703125" style="78" bestFit="1" customWidth="1"/>
    <col min="58" max="58" width="9.7109375" style="78" bestFit="1" customWidth="1"/>
    <col min="59" max="59" width="8.42578125" style="78" bestFit="1" customWidth="1"/>
    <col min="60" max="61" width="9.7109375" style="78" bestFit="1" customWidth="1"/>
    <col min="62" max="62" width="8.42578125" style="78" bestFit="1" customWidth="1"/>
    <col min="63" max="63" width="11.7109375" style="78" bestFit="1" customWidth="1"/>
    <col min="64" max="64" width="7.140625" style="78" bestFit="1" customWidth="1"/>
    <col min="65" max="65" width="11.7109375" style="78" bestFit="1" customWidth="1"/>
    <col min="66" max="67" width="9.7109375" style="78" bestFit="1" customWidth="1"/>
    <col min="68" max="68" width="11.7109375" style="78" bestFit="1" customWidth="1"/>
    <col min="69" max="69" width="9.7109375" style="78" bestFit="1" customWidth="1"/>
    <col min="70" max="72" width="11.7109375" style="78" bestFit="1" customWidth="1"/>
    <col min="73" max="73" width="5.140625" style="78" bestFit="1" customWidth="1"/>
    <col min="74" max="75" width="3.85546875" style="78" bestFit="1" customWidth="1"/>
    <col min="76" max="16384" width="9.140625" style="78"/>
  </cols>
  <sheetData>
    <row r="1" spans="1:75" ht="15.75" customHeight="1" thickBot="1" x14ac:dyDescent="0.3">
      <c r="A1" s="44" t="s">
        <v>69</v>
      </c>
      <c r="B1" s="44" t="s">
        <v>70</v>
      </c>
      <c r="C1" s="44"/>
      <c r="D1" s="44" t="s">
        <v>77</v>
      </c>
      <c r="E1" s="44" t="s">
        <v>78</v>
      </c>
      <c r="F1" s="44" t="s">
        <v>79</v>
      </c>
      <c r="G1" s="44" t="s">
        <v>174</v>
      </c>
      <c r="H1" s="44"/>
      <c r="I1" s="44"/>
      <c r="J1" s="190" t="str">
        <f>'Base de Dados P1'!H1</f>
        <v>População (só use essa variável no item 8, SE ESTE FOR O SEU CASO)</v>
      </c>
    </row>
    <row r="2" spans="1:75" ht="63" customHeight="1" thickBot="1" x14ac:dyDescent="0.3">
      <c r="A2" s="44"/>
      <c r="B2" s="54" t="str">
        <f>'Base de Dados P1'!C2</f>
        <v>Gastos P&amp;D (%)</v>
      </c>
      <c r="C2" s="54"/>
      <c r="D2" s="54" t="str">
        <f>'Base de Dados P1'!D2</f>
        <v>Razão de Dependência de Jovens (%)</v>
      </c>
      <c r="E2" s="54" t="str">
        <f>'Base de Dados P1'!E2</f>
        <v>Gastos com educação (%)</v>
      </c>
      <c r="F2" s="54" t="str">
        <f>'Base de Dados P1'!F2</f>
        <v>Taxa Crescimento (%)</v>
      </c>
      <c r="G2" s="54" t="s">
        <v>172</v>
      </c>
      <c r="H2" s="54" t="s">
        <v>154</v>
      </c>
      <c r="I2" s="54" t="s">
        <v>153</v>
      </c>
      <c r="J2" s="191"/>
      <c r="L2" s="89" t="s">
        <v>97</v>
      </c>
    </row>
    <row r="3" spans="1:75" ht="16.5" thickBot="1" x14ac:dyDescent="0.3">
      <c r="A3" s="45" t="s">
        <v>0</v>
      </c>
      <c r="B3" s="158">
        <f>'Base de Dados P1'!C3</f>
        <v>0.61744999885559104</v>
      </c>
      <c r="C3" s="46">
        <v>1</v>
      </c>
      <c r="D3" s="158">
        <f>'Base de Dados P1'!D3</f>
        <v>38.566711779316776</v>
      </c>
      <c r="E3" s="158">
        <f>'Base de Dados P1'!E3</f>
        <v>15.570460000000001</v>
      </c>
      <c r="F3" s="158">
        <f>'Base de Dados P1'!F3</f>
        <v>9.4515783314663508</v>
      </c>
      <c r="G3" s="46">
        <f t="shared" ref="G3:G34" si="0">F3*J3/100</f>
        <v>4271713.9821225032</v>
      </c>
      <c r="H3" s="46">
        <f t="shared" ref="H3:H34" si="1">$M$15+SUMPRODUCT(D3:F3,$N$40:$P$40)</f>
        <v>1.0163244752661615</v>
      </c>
      <c r="I3" s="46">
        <f t="shared" ref="I3:I34" si="2">B3-H3</f>
        <v>-0.3988744764105705</v>
      </c>
      <c r="J3" s="47">
        <f>'Base de Dados P1'!H3</f>
        <v>45195774</v>
      </c>
      <c r="L3" s="48">
        <v>1</v>
      </c>
      <c r="M3" s="48">
        <v>1</v>
      </c>
      <c r="N3" s="48">
        <v>1</v>
      </c>
      <c r="O3" s="48">
        <v>1</v>
      </c>
      <c r="P3" s="48">
        <v>1</v>
      </c>
      <c r="Q3" s="48">
        <v>1</v>
      </c>
      <c r="R3" s="48">
        <v>1</v>
      </c>
      <c r="S3" s="48">
        <v>1</v>
      </c>
      <c r="T3" s="48">
        <v>1</v>
      </c>
      <c r="U3" s="48">
        <v>1</v>
      </c>
      <c r="V3" s="48">
        <v>1</v>
      </c>
      <c r="W3" s="48">
        <v>1</v>
      </c>
      <c r="X3" s="48">
        <v>1</v>
      </c>
      <c r="Y3" s="48">
        <v>1</v>
      </c>
      <c r="Z3" s="48">
        <v>1</v>
      </c>
      <c r="AA3" s="48">
        <v>1</v>
      </c>
      <c r="AB3" s="48">
        <v>1</v>
      </c>
      <c r="AC3" s="48">
        <v>1</v>
      </c>
      <c r="AD3" s="48">
        <v>1</v>
      </c>
      <c r="AE3" s="48">
        <v>1</v>
      </c>
      <c r="AF3" s="48">
        <v>1</v>
      </c>
      <c r="AG3" s="48">
        <v>1</v>
      </c>
      <c r="AH3" s="48">
        <v>1</v>
      </c>
      <c r="AI3" s="48">
        <v>1</v>
      </c>
      <c r="AJ3" s="48">
        <v>1</v>
      </c>
      <c r="AK3" s="48">
        <v>1</v>
      </c>
      <c r="AL3" s="48">
        <v>1</v>
      </c>
      <c r="AM3" s="48">
        <v>1</v>
      </c>
      <c r="AN3" s="48">
        <v>1</v>
      </c>
      <c r="AO3" s="48">
        <v>1</v>
      </c>
      <c r="AP3" s="48">
        <v>1</v>
      </c>
      <c r="AQ3" s="48">
        <v>1</v>
      </c>
      <c r="AR3" s="48">
        <v>1</v>
      </c>
      <c r="AS3" s="48">
        <v>1</v>
      </c>
      <c r="AT3" s="48">
        <v>1</v>
      </c>
      <c r="AU3" s="48">
        <v>1</v>
      </c>
      <c r="AV3" s="48">
        <v>1</v>
      </c>
      <c r="AW3" s="48">
        <v>1</v>
      </c>
      <c r="AX3" s="48">
        <v>1</v>
      </c>
      <c r="AY3" s="48">
        <v>1</v>
      </c>
      <c r="AZ3" s="48">
        <v>1</v>
      </c>
      <c r="BA3" s="48">
        <v>1</v>
      </c>
      <c r="BB3" s="48">
        <v>1</v>
      </c>
      <c r="BC3" s="48">
        <v>1</v>
      </c>
      <c r="BD3" s="48">
        <v>1</v>
      </c>
      <c r="BE3" s="48">
        <v>1</v>
      </c>
      <c r="BF3" s="48">
        <v>1</v>
      </c>
      <c r="BG3" s="48">
        <v>1</v>
      </c>
      <c r="BH3" s="48">
        <v>1</v>
      </c>
      <c r="BI3" s="48">
        <v>1</v>
      </c>
      <c r="BJ3" s="48">
        <v>1</v>
      </c>
      <c r="BK3" s="48">
        <v>1</v>
      </c>
      <c r="BL3" s="48">
        <v>1</v>
      </c>
      <c r="BM3" s="48">
        <v>1</v>
      </c>
      <c r="BN3" s="48">
        <v>1</v>
      </c>
      <c r="BO3" s="48">
        <v>1</v>
      </c>
      <c r="BP3" s="48">
        <v>1</v>
      </c>
      <c r="BQ3" s="48">
        <v>1</v>
      </c>
      <c r="BR3" s="48">
        <v>1</v>
      </c>
      <c r="BS3" s="48">
        <v>1</v>
      </c>
      <c r="BT3" s="48">
        <v>1</v>
      </c>
      <c r="BU3" s="48">
        <v>1</v>
      </c>
      <c r="BV3" s="48">
        <v>1</v>
      </c>
      <c r="BW3" s="48">
        <v>1</v>
      </c>
    </row>
    <row r="4" spans="1:75" ht="16.5" thickBot="1" x14ac:dyDescent="0.3">
      <c r="A4" s="49" t="s">
        <v>1</v>
      </c>
      <c r="B4" s="158">
        <f>'Base de Dados P1'!C4</f>
        <v>0.241390004754066</v>
      </c>
      <c r="C4" s="46">
        <v>1</v>
      </c>
      <c r="D4" s="158">
        <f>'Base de Dados P1'!D4</f>
        <v>29.758868775312614</v>
      </c>
      <c r="E4" s="158">
        <f>'Base de Dados P1'!E4</f>
        <v>12.400510000000001</v>
      </c>
      <c r="F4" s="158">
        <f>'Base de Dados P1'!F4</f>
        <v>2.1999999991457031</v>
      </c>
      <c r="G4" s="46">
        <f t="shared" si="0"/>
        <v>65191.3459746851</v>
      </c>
      <c r="H4" s="46">
        <f t="shared" si="1"/>
        <v>1.3716336373781985</v>
      </c>
      <c r="I4" s="46">
        <f t="shared" si="2"/>
        <v>-1.1302436326241325</v>
      </c>
      <c r="J4" s="50">
        <f>'Base de Dados P1'!H4</f>
        <v>2963243</v>
      </c>
      <c r="L4" s="48">
        <v>38.566711779316776</v>
      </c>
      <c r="M4" s="48">
        <v>29.758868775312614</v>
      </c>
      <c r="N4" s="48">
        <v>28.01903301305062</v>
      </c>
      <c r="O4" s="48">
        <v>21.881817622344979</v>
      </c>
      <c r="P4" s="48">
        <v>31.791289790537842</v>
      </c>
      <c r="Q4" s="48">
        <v>20.852178591786398</v>
      </c>
      <c r="R4" s="48">
        <v>25.395925900409388</v>
      </c>
      <c r="S4" s="48">
        <v>37.709678185702835</v>
      </c>
      <c r="T4" s="48">
        <v>19.485786470116324</v>
      </c>
      <c r="U4" s="48">
        <v>82.053945056425576</v>
      </c>
      <c r="V4" s="48">
        <v>23.74405539363396</v>
      </c>
      <c r="W4" s="48">
        <v>32.237807714903774</v>
      </c>
      <c r="X4" s="48">
        <v>43.82746238643881</v>
      </c>
      <c r="Y4" s="48">
        <v>22.775894382471584</v>
      </c>
      <c r="Z4" s="48">
        <v>25.145562973857004</v>
      </c>
      <c r="AA4" s="48">
        <v>20.151363637780804</v>
      </c>
      <c r="AB4" s="48">
        <v>27.475772833313616</v>
      </c>
      <c r="AC4" s="48">
        <v>52.564166062486308</v>
      </c>
      <c r="AD4" s="48">
        <v>22.944788159347944</v>
      </c>
      <c r="AE4" s="48">
        <v>85.004237027036027</v>
      </c>
      <c r="AF4" s="48">
        <v>24.874028911397382</v>
      </c>
      <c r="AG4" s="48">
        <v>28.303837482940651</v>
      </c>
      <c r="AH4" s="48">
        <v>20.386593257709869</v>
      </c>
      <c r="AI4" s="48">
        <v>67.750719621685832</v>
      </c>
      <c r="AJ4" s="48">
        <v>76.807399855746468</v>
      </c>
      <c r="AK4" s="48">
        <v>16.200772379695994</v>
      </c>
      <c r="AL4" s="48">
        <v>21.336266525980655</v>
      </c>
      <c r="AM4" s="48">
        <v>46.591041531705308</v>
      </c>
      <c r="AN4" s="48">
        <v>31.700321689171012</v>
      </c>
      <c r="AO4" s="48">
        <v>43.702014433578533</v>
      </c>
      <c r="AP4" s="48">
        <v>21.380458591778407</v>
      </c>
      <c r="AQ4" s="48">
        <v>20.841026924106647</v>
      </c>
      <c r="AR4" s="48">
        <v>77.647765878876569</v>
      </c>
      <c r="AS4" s="48">
        <v>45.855310265538492</v>
      </c>
      <c r="AT4" s="48">
        <v>20.978530825946716</v>
      </c>
      <c r="AU4" s="48">
        <v>15.888046941425996</v>
      </c>
      <c r="AV4" s="48">
        <v>41.026654057019734</v>
      </c>
      <c r="AW4" s="48">
        <v>93.034395415081789</v>
      </c>
      <c r="AX4" s="48">
        <v>22.35562152645932</v>
      </c>
      <c r="AY4" s="48">
        <v>46.964942568096397</v>
      </c>
      <c r="AZ4" s="48">
        <v>23.097969840114018</v>
      </c>
      <c r="BA4" s="48">
        <v>38.931399323039599</v>
      </c>
      <c r="BB4" s="48">
        <v>64.003760570758601</v>
      </c>
      <c r="BC4" s="48">
        <v>64.012022127870878</v>
      </c>
      <c r="BD4" s="48">
        <v>26.101342986602088</v>
      </c>
      <c r="BE4" s="48">
        <v>28.409666470846908</v>
      </c>
      <c r="BF4" s="48">
        <v>21.002491759149297</v>
      </c>
      <c r="BG4" s="48">
        <v>22.665676290055632</v>
      </c>
      <c r="BH4" s="48">
        <v>21.402772707478693</v>
      </c>
      <c r="BI4" s="48">
        <v>81.910321426951114</v>
      </c>
      <c r="BJ4" s="48">
        <v>24.311684081557306</v>
      </c>
      <c r="BK4" s="48">
        <v>23.548008418714712</v>
      </c>
      <c r="BL4" s="48">
        <v>20.84600801517869</v>
      </c>
      <c r="BM4" s="48">
        <v>20.213249852838871</v>
      </c>
      <c r="BN4" s="48">
        <v>45.66513050216529</v>
      </c>
      <c r="BO4" s="48">
        <v>21.961482217125013</v>
      </c>
      <c r="BP4" s="48">
        <v>37.433780799783214</v>
      </c>
      <c r="BQ4" s="48">
        <v>25.283074889864963</v>
      </c>
      <c r="BR4" s="48">
        <v>59.084970450040728</v>
      </c>
      <c r="BS4" s="48">
        <v>86.154025919706541</v>
      </c>
      <c r="BT4" s="48">
        <v>76.228799727827351</v>
      </c>
      <c r="BU4" s="48">
        <v>100.33839946629502</v>
      </c>
      <c r="BV4" s="48">
        <v>26.666562470082294</v>
      </c>
      <c r="BW4" s="48">
        <v>29.568269020866804</v>
      </c>
    </row>
    <row r="5" spans="1:75" ht="16.5" thickBot="1" x14ac:dyDescent="0.3">
      <c r="A5" s="49" t="s">
        <v>2</v>
      </c>
      <c r="B5" s="158">
        <f>'Base de Dados P1'!C5</f>
        <v>2.3856201171875</v>
      </c>
      <c r="C5" s="46">
        <v>1</v>
      </c>
      <c r="D5" s="158">
        <f>'Base de Dados P1'!D5</f>
        <v>28.01903301305062</v>
      </c>
      <c r="E5" s="158">
        <f>'Base de Dados P1'!E5</f>
        <v>14.3276</v>
      </c>
      <c r="F5" s="158">
        <f>'Base de Dados P1'!F5</f>
        <v>1.9623661011905114</v>
      </c>
      <c r="G5" s="46">
        <f t="shared" si="0"/>
        <v>500401.079458903</v>
      </c>
      <c r="H5" s="46">
        <f t="shared" si="1"/>
        <v>1.319345034791203</v>
      </c>
      <c r="I5" s="46">
        <f t="shared" si="2"/>
        <v>1.066275082396297</v>
      </c>
      <c r="J5" s="50">
        <f>'Base de Dados P1'!H5</f>
        <v>25499884</v>
      </c>
      <c r="L5" s="48">
        <v>15.570460000000001</v>
      </c>
      <c r="M5" s="48">
        <v>12.400510000000001</v>
      </c>
      <c r="N5" s="48">
        <v>14.3276</v>
      </c>
      <c r="O5" s="48">
        <v>10.858169999999999</v>
      </c>
      <c r="P5" s="48">
        <v>8.7791099999999993</v>
      </c>
      <c r="Q5" s="48">
        <v>12.86463</v>
      </c>
      <c r="R5" s="48">
        <v>12.223739999999999</v>
      </c>
      <c r="S5" s="48">
        <v>14.559889999999999</v>
      </c>
      <c r="T5" s="48">
        <v>11.16342</v>
      </c>
      <c r="U5" s="48">
        <v>16.588100000000001</v>
      </c>
      <c r="V5" s="48">
        <v>12.387890000000001</v>
      </c>
      <c r="W5" s="48">
        <v>17.514019999999999</v>
      </c>
      <c r="X5" s="48">
        <v>16.418579999999999</v>
      </c>
      <c r="Y5" s="48">
        <v>9.0825899999999997</v>
      </c>
      <c r="Z5" s="48">
        <v>15.68234</v>
      </c>
      <c r="AA5" s="48">
        <v>9.7125000000000004</v>
      </c>
      <c r="AB5" s="48">
        <v>15.103339999999999</v>
      </c>
      <c r="AC5" s="48">
        <v>16.16422</v>
      </c>
      <c r="AD5" s="48">
        <v>13.681800000000001</v>
      </c>
      <c r="AE5" s="48">
        <v>22.035820000000001</v>
      </c>
      <c r="AF5" s="48">
        <v>11.956110000000001</v>
      </c>
      <c r="AG5" s="48">
        <v>10.069129999999999</v>
      </c>
      <c r="AH5" s="48">
        <v>10.616580000000001</v>
      </c>
      <c r="AI5" s="48">
        <v>21.244219999999999</v>
      </c>
      <c r="AJ5" s="48">
        <v>19.29692</v>
      </c>
      <c r="AK5" s="48">
        <v>19.909549999999999</v>
      </c>
      <c r="AL5" s="48">
        <v>9.6849799999999995</v>
      </c>
      <c r="AM5" s="48">
        <v>11.74278</v>
      </c>
      <c r="AN5" s="48">
        <v>9.2955100000000002</v>
      </c>
      <c r="AO5" s="48">
        <v>13.259320000000001</v>
      </c>
      <c r="AP5" s="48">
        <v>8.7239500000000003</v>
      </c>
      <c r="AQ5" s="48">
        <v>9.4575800000000001</v>
      </c>
      <c r="AR5" s="48">
        <v>20.555990000000001</v>
      </c>
      <c r="AS5" s="48">
        <v>15.684760000000001</v>
      </c>
      <c r="AT5" s="48">
        <v>8.1226400000000005</v>
      </c>
      <c r="AU5" s="48">
        <v>15.67268</v>
      </c>
      <c r="AV5" s="48">
        <v>18.406230000000001</v>
      </c>
      <c r="AW5" s="48">
        <v>16.503910000000001</v>
      </c>
      <c r="AX5" s="48">
        <v>15.73082</v>
      </c>
      <c r="AY5" s="48">
        <v>19.319980000000001</v>
      </c>
      <c r="AZ5" s="48">
        <v>22.336099999999998</v>
      </c>
      <c r="BA5" s="48">
        <v>14.71114</v>
      </c>
      <c r="BB5" s="48">
        <v>26.193249999999999</v>
      </c>
      <c r="BC5" s="48">
        <v>20.81352</v>
      </c>
      <c r="BD5" s="48">
        <v>11.52436</v>
      </c>
      <c r="BE5" s="48">
        <v>15.30602</v>
      </c>
      <c r="BF5" s="48">
        <v>11.108919999999999</v>
      </c>
      <c r="BG5" s="48">
        <v>10.42656</v>
      </c>
      <c r="BH5" s="48">
        <v>9.12913</v>
      </c>
      <c r="BI5" s="48">
        <v>20.723179999999999</v>
      </c>
      <c r="BJ5" s="48">
        <v>10.51355</v>
      </c>
      <c r="BK5" s="48">
        <v>16.55659</v>
      </c>
      <c r="BL5" s="48">
        <v>9.8575300000000006</v>
      </c>
      <c r="BM5" s="48">
        <v>12.08019</v>
      </c>
      <c r="BN5" s="48">
        <v>18.044370000000001</v>
      </c>
      <c r="BO5" s="48">
        <v>10.563980000000001</v>
      </c>
      <c r="BP5" s="48">
        <v>8.6056600000000003</v>
      </c>
      <c r="BQ5" s="48">
        <v>13.34554</v>
      </c>
      <c r="BR5" s="48">
        <v>15.33145</v>
      </c>
      <c r="BS5" s="48">
        <v>19.648009999999999</v>
      </c>
      <c r="BT5" s="48">
        <v>19.615760000000002</v>
      </c>
      <c r="BU5" s="48">
        <v>13.517569999999999</v>
      </c>
      <c r="BV5" s="48">
        <v>12.960369999999999</v>
      </c>
      <c r="BW5" s="48">
        <v>13.037570000000001</v>
      </c>
    </row>
    <row r="6" spans="1:75" ht="16.5" thickBot="1" x14ac:dyDescent="0.3">
      <c r="A6" s="49" t="s">
        <v>3</v>
      </c>
      <c r="B6" s="158">
        <f>'Base de Dados P1'!C6</f>
        <v>2.7984600067138699</v>
      </c>
      <c r="C6" s="46">
        <v>1</v>
      </c>
      <c r="D6" s="158">
        <f>'Base de Dados P1'!D6</f>
        <v>21.881817622344979</v>
      </c>
      <c r="E6" s="158">
        <f>'Base de Dados P1'!E6</f>
        <v>10.858169999999999</v>
      </c>
      <c r="F6" s="158">
        <f>'Base de Dados P1'!F6</f>
        <v>1.8801176594148217</v>
      </c>
      <c r="G6" s="46">
        <f t="shared" si="0"/>
        <v>169330.87927518331</v>
      </c>
      <c r="H6" s="46">
        <f t="shared" si="1"/>
        <v>1.5441920760594117</v>
      </c>
      <c r="I6" s="46">
        <f t="shared" si="2"/>
        <v>1.2542679306544582</v>
      </c>
      <c r="J6" s="50">
        <f>'Base de Dados P1'!H6</f>
        <v>9006398</v>
      </c>
      <c r="L6" s="48">
        <v>9.4515783314663508</v>
      </c>
      <c r="M6" s="48">
        <v>2.1999999991457031</v>
      </c>
      <c r="N6" s="48">
        <v>1.9623661011905114</v>
      </c>
      <c r="O6" s="48">
        <v>1.8801176594148217</v>
      </c>
      <c r="P6" s="48">
        <v>4.8543393238395822</v>
      </c>
      <c r="Q6" s="48">
        <v>7.7407812155639846</v>
      </c>
      <c r="R6" s="48">
        <v>2.5010545665515025</v>
      </c>
      <c r="S6" s="48">
        <v>7.5720671552290071</v>
      </c>
      <c r="T6" s="48">
        <v>0.65532511235480229</v>
      </c>
      <c r="U6" s="48">
        <v>3.7859025431217219</v>
      </c>
      <c r="V6" s="48">
        <v>3.3742485547244172</v>
      </c>
      <c r="W6" s="48">
        <v>5.753708903146304</v>
      </c>
      <c r="X6" s="48">
        <v>3.9718007047375039</v>
      </c>
      <c r="Y6" s="48">
        <v>-1.7011368880312006</v>
      </c>
      <c r="Z6" s="48">
        <v>1.3906440575121479</v>
      </c>
      <c r="AA6" s="48">
        <v>2.2950891154049202</v>
      </c>
      <c r="AB6" s="48">
        <v>1.6251358849883815</v>
      </c>
      <c r="AC6" s="48">
        <v>1.3647836672697764</v>
      </c>
      <c r="AD6" s="48">
        <v>2.4758738514106398</v>
      </c>
      <c r="AE6" s="48">
        <v>12.550538328899833</v>
      </c>
      <c r="AF6" s="48">
        <v>2.9923553361053337</v>
      </c>
      <c r="AG6" s="48">
        <v>1.9656578188557319</v>
      </c>
      <c r="AH6" s="48">
        <v>4.0907695122806729</v>
      </c>
      <c r="AI6" s="48">
        <v>7.8997402926816847</v>
      </c>
      <c r="AJ6" s="48">
        <v>2.8693723892527601</v>
      </c>
      <c r="AK6" s="48">
        <v>6.7676105587932938</v>
      </c>
      <c r="AL6" s="48">
        <v>0.7891168795250536</v>
      </c>
      <c r="AM6" s="48">
        <v>10.259962989017396</v>
      </c>
      <c r="AN6" s="48">
        <v>-0.27550500952816037</v>
      </c>
      <c r="AO6" s="48">
        <v>5.7505321840403809</v>
      </c>
      <c r="AP6" s="48">
        <v>1.7105824180637654</v>
      </c>
      <c r="AQ6" s="48">
        <v>4.6520301434902223</v>
      </c>
      <c r="AR6" s="48">
        <v>8.4022770637024706</v>
      </c>
      <c r="AS6" s="48">
        <v>-0.47156684750859768</v>
      </c>
      <c r="AT6" s="48">
        <v>-2.8736096958718207</v>
      </c>
      <c r="AU6" s="48">
        <v>27.498964227387361</v>
      </c>
      <c r="AV6" s="48">
        <v>7.4259704961548607</v>
      </c>
      <c r="AW6" s="48">
        <v>5.8193148304095388</v>
      </c>
      <c r="AX6" s="48">
        <v>4.2999999999999261</v>
      </c>
      <c r="AY6" s="48">
        <v>5.11019873147265</v>
      </c>
      <c r="AZ6" s="48">
        <v>7.0940717618723852</v>
      </c>
      <c r="BA6" s="48">
        <v>6.3651616849400057</v>
      </c>
      <c r="BB6" s="48">
        <v>5.9637801567363766</v>
      </c>
      <c r="BC6" s="48">
        <v>4.8164146502244023</v>
      </c>
      <c r="BD6" s="48">
        <v>1.0705038483302332</v>
      </c>
      <c r="BE6" s="48">
        <v>0.60193444078448977</v>
      </c>
      <c r="BF6" s="48">
        <v>3.7098103874690906</v>
      </c>
      <c r="BG6" s="48">
        <v>1.8986750387770712</v>
      </c>
      <c r="BH6" s="48">
        <v>-0.9396559797708619</v>
      </c>
      <c r="BI6" s="48">
        <v>4.2662476259499584</v>
      </c>
      <c r="BJ6" s="48">
        <v>0.5844780879253193</v>
      </c>
      <c r="BK6" s="48">
        <v>15.24037703594152</v>
      </c>
      <c r="BL6" s="48">
        <v>4.827314044859051</v>
      </c>
      <c r="BM6" s="48">
        <v>1.2218191529610749</v>
      </c>
      <c r="BN6" s="48">
        <v>3.0397470850071215</v>
      </c>
      <c r="BO6" s="48">
        <v>1.3804782633314971E-2</v>
      </c>
      <c r="BP6" s="48">
        <v>8.0159594057522412</v>
      </c>
      <c r="BQ6" s="48">
        <v>5.9889271333556593</v>
      </c>
      <c r="BR6" s="48">
        <v>6.5000000000047891</v>
      </c>
      <c r="BS6" s="48">
        <v>6.3588860812991754</v>
      </c>
      <c r="BT6" s="48">
        <v>3.9956787703640231</v>
      </c>
      <c r="BU6" s="48">
        <v>5.1703429744023737</v>
      </c>
      <c r="BV6" s="48">
        <v>1.9113776646944416</v>
      </c>
      <c r="BW6" s="48">
        <v>2.5319203804648396</v>
      </c>
    </row>
    <row r="7" spans="1:75" ht="16.5" thickBot="1" x14ac:dyDescent="0.3">
      <c r="A7" s="49" t="s">
        <v>4</v>
      </c>
      <c r="B7" s="158">
        <f>'Base de Dados P1'!C7</f>
        <v>0.21848000586032901</v>
      </c>
      <c r="C7" s="46">
        <v>1</v>
      </c>
      <c r="D7" s="158">
        <f>'Base de Dados P1'!D7</f>
        <v>31.791289790537842</v>
      </c>
      <c r="E7" s="158">
        <f>'Base de Dados P1'!E7</f>
        <v>8.7791099999999993</v>
      </c>
      <c r="F7" s="158">
        <f>'Base de Dados P1'!F7</f>
        <v>4.8543393238395822</v>
      </c>
      <c r="G7" s="46">
        <f t="shared" si="0"/>
        <v>492190.05622469843</v>
      </c>
      <c r="H7" s="46">
        <f t="shared" si="1"/>
        <v>1.4532865571368929</v>
      </c>
      <c r="I7" s="46">
        <f t="shared" si="2"/>
        <v>-1.2348065512765638</v>
      </c>
      <c r="J7" s="50">
        <f>'Base de Dados P1'!H7</f>
        <v>10139177</v>
      </c>
    </row>
    <row r="8" spans="1:75" ht="16.5" thickBot="1" x14ac:dyDescent="0.3">
      <c r="A8" s="49" t="s">
        <v>5</v>
      </c>
      <c r="B8" s="158">
        <f>'Base de Dados P1'!C8</f>
        <v>0.69349998235702504</v>
      </c>
      <c r="C8" s="46">
        <v>1</v>
      </c>
      <c r="D8" s="158">
        <f>'Base de Dados P1'!D8</f>
        <v>20.852178591786398</v>
      </c>
      <c r="E8" s="158">
        <f>'Base de Dados P1'!E8</f>
        <v>12.86463</v>
      </c>
      <c r="F8" s="158">
        <f>'Base de Dados P1'!F8</f>
        <v>7.7407812155639846</v>
      </c>
      <c r="G8" s="46">
        <f t="shared" si="0"/>
        <v>731451.41978196707</v>
      </c>
      <c r="H8" s="46">
        <f t="shared" si="1"/>
        <v>1.3879766099758486</v>
      </c>
      <c r="I8" s="46">
        <f t="shared" si="2"/>
        <v>-0.69447662761882356</v>
      </c>
      <c r="J8" s="50">
        <f>'Base de Dados P1'!H8</f>
        <v>9449323</v>
      </c>
      <c r="L8" s="89" t="s">
        <v>145</v>
      </c>
      <c r="M8" s="79"/>
      <c r="N8" s="79"/>
      <c r="O8" s="79"/>
      <c r="Q8" s="89" t="s">
        <v>96</v>
      </c>
      <c r="V8" s="90" t="s">
        <v>98</v>
      </c>
    </row>
    <row r="9" spans="1:75" ht="16.5" thickBot="1" x14ac:dyDescent="0.3">
      <c r="A9" s="49" t="s">
        <v>6</v>
      </c>
      <c r="B9" s="158">
        <f>'Base de Dados P1'!C9</f>
        <v>2.10477995872498</v>
      </c>
      <c r="C9" s="46">
        <v>1</v>
      </c>
      <c r="D9" s="158">
        <f>'Base de Dados P1'!D9</f>
        <v>25.395925900409388</v>
      </c>
      <c r="E9" s="158">
        <f>'Base de Dados P1'!E9</f>
        <v>12.223739999999999</v>
      </c>
      <c r="F9" s="158">
        <f>'Base de Dados P1'!F9</f>
        <v>2.5010545665515025</v>
      </c>
      <c r="G9" s="46">
        <f t="shared" si="0"/>
        <v>289862.79528760328</v>
      </c>
      <c r="H9" s="46">
        <f t="shared" si="1"/>
        <v>1.4323003048545395</v>
      </c>
      <c r="I9" s="46">
        <f t="shared" si="2"/>
        <v>0.67247965387044051</v>
      </c>
      <c r="J9" s="50">
        <f>'Base de Dados P1'!H9</f>
        <v>11589623</v>
      </c>
      <c r="L9" s="51">
        <f t="array" ref="L9:O12">MMULT(L3:BW6,C3:F66)</f>
        <v>64</v>
      </c>
      <c r="M9" s="51">
        <v>2463.8529637751285</v>
      </c>
      <c r="N9" s="51">
        <v>918.32269000000008</v>
      </c>
      <c r="O9" s="51">
        <v>280.63556872124326</v>
      </c>
      <c r="Q9" s="55">
        <f t="array" ref="Q9:T12">MINVERSE(L9:O12)</f>
        <v>0.20931999212543559</v>
      </c>
      <c r="R9" s="55">
        <v>4.55674700190519E-4</v>
      </c>
      <c r="S9" s="55">
        <v>-1.5236087768664523E-2</v>
      </c>
      <c r="T9" s="55">
        <v>1.6835005995115223E-3</v>
      </c>
      <c r="V9" s="51">
        <f t="array" ref="V9:V12">MMULT(L3:BW6,B3:B66)</f>
        <v>73.158220067620263</v>
      </c>
    </row>
    <row r="10" spans="1:75" ht="16.5" thickBot="1" x14ac:dyDescent="0.3">
      <c r="A10" s="49" t="s">
        <v>7</v>
      </c>
      <c r="B10" s="158">
        <f>'Base de Dados P1'!C10</f>
        <v>1.1604199409484901</v>
      </c>
      <c r="C10" s="46">
        <v>1</v>
      </c>
      <c r="D10" s="158">
        <f>'Base de Dados P1'!D10</f>
        <v>37.709678185702835</v>
      </c>
      <c r="E10" s="158">
        <f>'Base de Dados P1'!E10</f>
        <v>14.559889999999999</v>
      </c>
      <c r="F10" s="158">
        <f>'Base de Dados P1'!F10</f>
        <v>7.5720671552290071</v>
      </c>
      <c r="G10" s="46">
        <f t="shared" si="0"/>
        <v>16095141.800003262</v>
      </c>
      <c r="H10" s="46">
        <f t="shared" si="1"/>
        <v>1.0972250043524561</v>
      </c>
      <c r="I10" s="46">
        <f t="shared" si="2"/>
        <v>6.3194936596034035E-2</v>
      </c>
      <c r="J10" s="50">
        <f>'Base de Dados P1'!H10</f>
        <v>212559417</v>
      </c>
      <c r="L10" s="51">
        <v>2463.8529637751285</v>
      </c>
      <c r="M10" s="51">
        <v>126329.31216657881</v>
      </c>
      <c r="N10" s="51">
        <v>38947.312044261082</v>
      </c>
      <c r="O10" s="51">
        <v>11942.918371005639</v>
      </c>
      <c r="Q10" s="55">
        <v>4.5567470019052447E-4</v>
      </c>
      <c r="R10" s="55">
        <v>5.0994871581213215E-5</v>
      </c>
      <c r="S10" s="55">
        <v>-1.7392975446675832E-4</v>
      </c>
      <c r="T10" s="55">
        <v>1.7519495908727456E-5</v>
      </c>
      <c r="V10" s="51">
        <v>2234.2123083045849</v>
      </c>
    </row>
    <row r="11" spans="1:75" ht="16.5" thickBot="1" x14ac:dyDescent="0.3">
      <c r="A11" s="49" t="s">
        <v>8</v>
      </c>
      <c r="B11" s="158">
        <f>'Base de Dados P1'!C11</f>
        <v>0.59794002771377597</v>
      </c>
      <c r="C11" s="46">
        <v>1</v>
      </c>
      <c r="D11" s="158">
        <f>'Base de Dados P1'!D11</f>
        <v>19.485786470116324</v>
      </c>
      <c r="E11" s="158">
        <f>'Base de Dados P1'!E11</f>
        <v>11.16342</v>
      </c>
      <c r="F11" s="158">
        <f>'Base de Dados P1'!F11</f>
        <v>0.65532511235480229</v>
      </c>
      <c r="G11" s="46">
        <f t="shared" si="0"/>
        <v>45534.905003161643</v>
      </c>
      <c r="H11" s="46">
        <f t="shared" si="1"/>
        <v>1.5818268103939173</v>
      </c>
      <c r="I11" s="46">
        <f t="shared" si="2"/>
        <v>-0.98388678268014129</v>
      </c>
      <c r="J11" s="50">
        <f>'Base de Dados P1'!H11</f>
        <v>6948445</v>
      </c>
      <c r="L11" s="51">
        <v>918.32269000000008</v>
      </c>
      <c r="M11" s="51">
        <v>38947.312044261082</v>
      </c>
      <c r="N11" s="51">
        <v>14276.771356211897</v>
      </c>
      <c r="O11" s="51">
        <v>4485.6167322940364</v>
      </c>
      <c r="Q11" s="55">
        <v>-1.5236087768664537E-2</v>
      </c>
      <c r="R11" s="55">
        <v>-1.7392975446675792E-4</v>
      </c>
      <c r="S11" s="55">
        <v>1.6683654254304944E-3</v>
      </c>
      <c r="T11" s="55">
        <v>-4.5771413703365939E-4</v>
      </c>
      <c r="V11" s="51">
        <v>950.08638483093523</v>
      </c>
    </row>
    <row r="12" spans="1:75" ht="16.5" thickBot="1" x14ac:dyDescent="0.3">
      <c r="A12" s="49" t="s">
        <v>9</v>
      </c>
      <c r="B12" s="158">
        <f>'Base de Dados P1'!C12</f>
        <v>0.13754999637603799</v>
      </c>
      <c r="C12" s="46">
        <v>1</v>
      </c>
      <c r="D12" s="158">
        <f>'Base de Dados P1'!D12</f>
        <v>82.053945056425576</v>
      </c>
      <c r="E12" s="158">
        <f>'Base de Dados P1'!E12</f>
        <v>16.588100000000001</v>
      </c>
      <c r="F12" s="158">
        <f>'Base de Dados P1'!F12</f>
        <v>3.7859025431217219</v>
      </c>
      <c r="G12" s="46">
        <f t="shared" si="0"/>
        <v>450173.49385311082</v>
      </c>
      <c r="H12" s="46">
        <f t="shared" si="1"/>
        <v>0.48200009349334949</v>
      </c>
      <c r="I12" s="46">
        <f t="shared" si="2"/>
        <v>-0.3444500971173115</v>
      </c>
      <c r="J12" s="50">
        <f>'Base de Dados P1'!H12</f>
        <v>11890784</v>
      </c>
      <c r="L12" s="51">
        <v>280.63556872124326</v>
      </c>
      <c r="M12" s="51">
        <v>11942.918371005639</v>
      </c>
      <c r="N12" s="51">
        <v>4485.6167322940364</v>
      </c>
      <c r="O12" s="51">
        <v>2470.1680819555845</v>
      </c>
      <c r="Q12" s="55">
        <v>1.6835005995115288E-3</v>
      </c>
      <c r="R12" s="55">
        <v>1.7519495908727331E-5</v>
      </c>
      <c r="S12" s="55">
        <v>-4.5771413703365945E-4</v>
      </c>
      <c r="T12" s="55">
        <v>9.6003431964140277E-4</v>
      </c>
      <c r="V12" s="51">
        <v>268.3251051193937</v>
      </c>
    </row>
    <row r="13" spans="1:75" ht="16.5" thickBot="1" x14ac:dyDescent="0.3">
      <c r="A13" s="49" t="s">
        <v>10</v>
      </c>
      <c r="B13" s="158">
        <f>'Base de Dados P1'!C13</f>
        <v>1.8600800037384</v>
      </c>
      <c r="C13" s="46">
        <v>1</v>
      </c>
      <c r="D13" s="158">
        <f>'Base de Dados P1'!D13</f>
        <v>23.74405539363396</v>
      </c>
      <c r="E13" s="158">
        <f>'Base de Dados P1'!E13</f>
        <v>12.387890000000001</v>
      </c>
      <c r="F13" s="158">
        <f>'Base de Dados P1'!F13</f>
        <v>3.3742485547244172</v>
      </c>
      <c r="G13" s="46">
        <f t="shared" si="0"/>
        <v>1273514.0858668638</v>
      </c>
      <c r="H13" s="46">
        <f t="shared" si="1"/>
        <v>1.4344435531457256</v>
      </c>
      <c r="I13" s="46">
        <f t="shared" si="2"/>
        <v>0.42563645059267441</v>
      </c>
      <c r="J13" s="50">
        <f>'Base de Dados P1'!H13</f>
        <v>37742154</v>
      </c>
    </row>
    <row r="14" spans="1:75" ht="16.5" thickBot="1" x14ac:dyDescent="0.3">
      <c r="A14" s="49" t="s">
        <v>11</v>
      </c>
      <c r="B14" s="158">
        <f>'Base de Dados P1'!C14</f>
        <v>0.41721999645233199</v>
      </c>
      <c r="C14" s="46">
        <v>1</v>
      </c>
      <c r="D14" s="158">
        <f>'Base de Dados P1'!D14</f>
        <v>32.237807714903774</v>
      </c>
      <c r="E14" s="158">
        <f>'Base de Dados P1'!E14</f>
        <v>17.514019999999999</v>
      </c>
      <c r="F14" s="158">
        <f>'Base de Dados P1'!F14</f>
        <v>5.753708903146304</v>
      </c>
      <c r="G14" s="46">
        <f t="shared" si="0"/>
        <v>1099890.5588803429</v>
      </c>
      <c r="H14" s="46">
        <f t="shared" si="1"/>
        <v>1.0760669141556982</v>
      </c>
      <c r="I14" s="46">
        <f t="shared" si="2"/>
        <v>-0.65884691770336623</v>
      </c>
      <c r="J14" s="50">
        <f>'Base de Dados P1'!H14</f>
        <v>19116201</v>
      </c>
      <c r="L14" s="89" t="s">
        <v>103</v>
      </c>
    </row>
    <row r="15" spans="1:75" ht="16.5" thickBot="1" x14ac:dyDescent="0.3">
      <c r="A15" s="49" t="s">
        <v>12</v>
      </c>
      <c r="B15" s="158">
        <f>'Base de Dados P1'!C15</f>
        <v>0.1805399954319</v>
      </c>
      <c r="C15" s="46">
        <v>1</v>
      </c>
      <c r="D15" s="158">
        <f>'Base de Dados P1'!D15</f>
        <v>43.82746238643881</v>
      </c>
      <c r="E15" s="158">
        <f>'Base de Dados P1'!E15</f>
        <v>16.418579999999999</v>
      </c>
      <c r="F15" s="158">
        <f>'Base de Dados P1'!F15</f>
        <v>3.9718007047375039</v>
      </c>
      <c r="G15" s="46">
        <f t="shared" si="0"/>
        <v>2020967.0233288161</v>
      </c>
      <c r="H15" s="46">
        <f t="shared" si="1"/>
        <v>0.99372105653420517</v>
      </c>
      <c r="I15" s="46">
        <f t="shared" si="2"/>
        <v>-0.81318106110230515</v>
      </c>
      <c r="J15" s="50">
        <f>'Base de Dados P1'!H15</f>
        <v>50882891</v>
      </c>
      <c r="L15" s="56" t="s">
        <v>99</v>
      </c>
      <c r="M15" s="124">
        <f t="array" ref="M15:M18">MMULT(Q9:T12,V9:V12)</f>
        <v>2.3076780004490018</v>
      </c>
      <c r="O15" s="113" t="s">
        <v>104</v>
      </c>
    </row>
    <row r="16" spans="1:75" ht="16.5" customHeight="1" thickBot="1" x14ac:dyDescent="0.3">
      <c r="A16" s="49" t="s">
        <v>13</v>
      </c>
      <c r="B16" s="158">
        <f>'Base de Dados P1'!C16</f>
        <v>0.75442999601364102</v>
      </c>
      <c r="C16" s="46">
        <v>1</v>
      </c>
      <c r="D16" s="158">
        <f>'Base de Dados P1'!D16</f>
        <v>22.775894382471584</v>
      </c>
      <c r="E16" s="158">
        <f>'Base de Dados P1'!E16</f>
        <v>9.0825899999999997</v>
      </c>
      <c r="F16" s="158">
        <f>'Base de Dados P1'!F16</f>
        <v>-1.7011368880312006</v>
      </c>
      <c r="G16" s="46">
        <f t="shared" si="0"/>
        <v>-69836.211289171828</v>
      </c>
      <c r="H16" s="46">
        <f t="shared" si="1"/>
        <v>1.658643655558647</v>
      </c>
      <c r="I16" s="46">
        <f t="shared" si="2"/>
        <v>-0.90421365954500599</v>
      </c>
      <c r="J16" s="50">
        <f>'Base de Dados P1'!H16</f>
        <v>4105267</v>
      </c>
      <c r="L16" s="59" t="s">
        <v>100</v>
      </c>
      <c r="M16" s="156">
        <v>-1.3277651311562996E-2</v>
      </c>
      <c r="N16" s="43"/>
      <c r="O16" s="114" t="s">
        <v>176</v>
      </c>
    </row>
    <row r="17" spans="1:27" ht="16.5" customHeight="1" thickBot="1" x14ac:dyDescent="0.3">
      <c r="A17" s="49" t="s">
        <v>14</v>
      </c>
      <c r="B17" s="158">
        <f>'Base de Dados P1'!C17</f>
        <v>0.49355000257492099</v>
      </c>
      <c r="C17" s="46">
        <v>1</v>
      </c>
      <c r="D17" s="158">
        <f>'Base de Dados P1'!D17</f>
        <v>25.145562973857004</v>
      </c>
      <c r="E17" s="158">
        <f>'Base de Dados P1'!E17</f>
        <v>15.68234</v>
      </c>
      <c r="F17" s="158">
        <f>'Base de Dados P1'!F17</f>
        <v>1.3906440575121479</v>
      </c>
      <c r="G17" s="46">
        <f t="shared" si="0"/>
        <v>16790.066186338096</v>
      </c>
      <c r="H17" s="46">
        <f t="shared" si="1"/>
        <v>1.3105540975788352</v>
      </c>
      <c r="I17" s="46">
        <f t="shared" si="2"/>
        <v>-0.81700409500391424</v>
      </c>
      <c r="J17" s="50">
        <f>'Base de Dados P1'!H17</f>
        <v>1207359</v>
      </c>
      <c r="L17" s="59" t="s">
        <v>101</v>
      </c>
      <c r="M17" s="156">
        <v>-4.0965978469567996E-2</v>
      </c>
      <c r="O17" s="114" t="s">
        <v>177</v>
      </c>
    </row>
    <row r="18" spans="1:27" ht="16.5" customHeight="1" thickBot="1" x14ac:dyDescent="0.3">
      <c r="A18" s="49" t="s">
        <v>15</v>
      </c>
      <c r="B18" s="158">
        <f>'Base de Dados P1'!C18</f>
        <v>1.39740002155304</v>
      </c>
      <c r="C18" s="46">
        <v>1</v>
      </c>
      <c r="D18" s="158">
        <f>'Base de Dados P1'!D18</f>
        <v>20.151363637780804</v>
      </c>
      <c r="E18" s="158">
        <f>'Base de Dados P1'!E18</f>
        <v>9.7125000000000004</v>
      </c>
      <c r="F18" s="158">
        <f>'Base de Dados P1'!F18</f>
        <v>2.2950891154049202</v>
      </c>
      <c r="G18" s="46">
        <f t="shared" si="0"/>
        <v>245780.657301781</v>
      </c>
      <c r="H18" s="46">
        <f t="shared" si="1"/>
        <v>1.607892931423861</v>
      </c>
      <c r="I18" s="46">
        <f t="shared" si="2"/>
        <v>-0.21049290987082103</v>
      </c>
      <c r="J18" s="50">
        <f>'Base de Dados P1'!H18</f>
        <v>10708981</v>
      </c>
      <c r="L18" s="60" t="s">
        <v>102</v>
      </c>
      <c r="M18" s="157">
        <v>-1.4962479266710238E-2</v>
      </c>
      <c r="O18" s="114" t="s">
        <v>178</v>
      </c>
    </row>
    <row r="19" spans="1:27" ht="16.5" thickBot="1" x14ac:dyDescent="0.3">
      <c r="A19" s="49" t="s">
        <v>16</v>
      </c>
      <c r="B19" s="158">
        <f>'Base de Dados P1'!C19</f>
        <v>3.0013799667358398</v>
      </c>
      <c r="C19" s="46">
        <v>1</v>
      </c>
      <c r="D19" s="158">
        <f>'Base de Dados P1'!D19</f>
        <v>27.475772833313616</v>
      </c>
      <c r="E19" s="158">
        <f>'Base de Dados P1'!E19</f>
        <v>15.103339999999999</v>
      </c>
      <c r="F19" s="158">
        <f>'Base de Dados P1'!F19</f>
        <v>1.6251358849883815</v>
      </c>
      <c r="G19" s="46">
        <f t="shared" si="0"/>
        <v>94131.153233014731</v>
      </c>
      <c r="H19" s="46">
        <f t="shared" si="1"/>
        <v>1.2998251060092578</v>
      </c>
      <c r="I19" s="46">
        <f t="shared" si="2"/>
        <v>1.701554860726582</v>
      </c>
      <c r="J19" s="50">
        <f>'Base de Dados P1'!H19</f>
        <v>5792202</v>
      </c>
    </row>
    <row r="20" spans="1:27" ht="19.5" thickBot="1" x14ac:dyDescent="0.3">
      <c r="A20" s="49" t="s">
        <v>17</v>
      </c>
      <c r="B20" s="158">
        <f>'Base de Dados P1'!C20</f>
        <v>6.7230001091957106E-2</v>
      </c>
      <c r="C20" s="46">
        <v>1</v>
      </c>
      <c r="D20" s="158">
        <f>'Base de Dados P1'!D20</f>
        <v>52.564166062486308</v>
      </c>
      <c r="E20" s="158">
        <f>'Base de Dados P1'!E20</f>
        <v>16.16422</v>
      </c>
      <c r="F20" s="158">
        <f>'Base de Dados P1'!F20</f>
        <v>1.3647836672697764</v>
      </c>
      <c r="G20" s="46">
        <f t="shared" si="0"/>
        <v>88522.666465635601</v>
      </c>
      <c r="H20" s="46">
        <f t="shared" si="1"/>
        <v>0.92714569616578646</v>
      </c>
      <c r="I20" s="46">
        <f t="shared" si="2"/>
        <v>-0.85991569507382937</v>
      </c>
      <c r="J20" s="50">
        <f>'Base de Dados P1'!H20</f>
        <v>6486205</v>
      </c>
      <c r="L20" s="61" t="s">
        <v>105</v>
      </c>
      <c r="M20" s="62" t="s">
        <v>106</v>
      </c>
      <c r="O20" s="61" t="s">
        <v>107</v>
      </c>
      <c r="P20" s="62" t="s">
        <v>108</v>
      </c>
      <c r="R20" s="160" t="s">
        <v>182</v>
      </c>
    </row>
    <row r="21" spans="1:27" ht="16.5" thickBot="1" x14ac:dyDescent="0.3">
      <c r="A21" s="49" t="s">
        <v>18</v>
      </c>
      <c r="B21" s="158">
        <f>'Base de Dados P1'!C21</f>
        <v>1.61963999271393</v>
      </c>
      <c r="C21" s="46">
        <v>1</v>
      </c>
      <c r="D21" s="158">
        <f>'Base de Dados P1'!D21</f>
        <v>22.944788159347944</v>
      </c>
      <c r="E21" s="158">
        <f>'Base de Dados P1'!E21</f>
        <v>13.681800000000001</v>
      </c>
      <c r="F21" s="158">
        <f>'Base de Dados P1'!F21</f>
        <v>2.4758738514106398</v>
      </c>
      <c r="G21" s="46">
        <f t="shared" si="0"/>
        <v>32843.333194810126</v>
      </c>
      <c r="H21" s="46">
        <f t="shared" si="1"/>
        <v>1.4054915684578435</v>
      </c>
      <c r="I21" s="46">
        <f t="shared" si="2"/>
        <v>0.21414842425608649</v>
      </c>
      <c r="J21" s="50">
        <f>'Base de Dados P1'!H21</f>
        <v>1326535</v>
      </c>
      <c r="L21" s="65">
        <f t="array" ref="L21">MMULT(TRANSPOSE(B3:B66),B3:B66)</f>
        <v>149.21456215531452</v>
      </c>
      <c r="M21" s="66">
        <f t="array" ref="M21">MMULT(TRANSPOSE(M15:M18),MMULT(L3:BW6,B3:B66))</f>
        <v>96.224495809082853</v>
      </c>
      <c r="O21" s="65">
        <f>COUNT(B3:B66)</f>
        <v>64</v>
      </c>
      <c r="P21" s="66">
        <f>AVERAGE(B3:B66)</f>
        <v>1.1430971885565666</v>
      </c>
    </row>
    <row r="22" spans="1:27" ht="16.5" thickBot="1" x14ac:dyDescent="0.3">
      <c r="A22" s="49" t="s">
        <v>19</v>
      </c>
      <c r="B22" s="158">
        <f>'Base de Dados P1'!C22</f>
        <v>0.24566000699996901</v>
      </c>
      <c r="C22" s="46">
        <v>1</v>
      </c>
      <c r="D22" s="158">
        <f>'Base de Dados P1'!D22</f>
        <v>85.004237027036027</v>
      </c>
      <c r="E22" s="158">
        <f>'Base de Dados P1'!E22</f>
        <v>22.035820000000001</v>
      </c>
      <c r="F22" s="158">
        <f>'Base de Dados P1'!F22</f>
        <v>12.550538328899833</v>
      </c>
      <c r="G22" s="46">
        <f t="shared" si="0"/>
        <v>14428549.176218487</v>
      </c>
      <c r="H22" s="46">
        <f t="shared" si="1"/>
        <v>8.8515283987073534E-2</v>
      </c>
      <c r="I22" s="46">
        <f t="shared" si="2"/>
        <v>0.15714472301289548</v>
      </c>
      <c r="J22" s="50">
        <f>'Base de Dados P1'!H22</f>
        <v>114963588</v>
      </c>
    </row>
    <row r="23" spans="1:27" ht="16.5" thickBot="1" x14ac:dyDescent="0.3">
      <c r="A23" s="49" t="s">
        <v>20</v>
      </c>
      <c r="B23" s="158">
        <f>'Base de Dados P1'!C23</f>
        <v>3.9005999565124498</v>
      </c>
      <c r="C23" s="46">
        <v>1</v>
      </c>
      <c r="D23" s="158">
        <f>'Base de Dados P1'!D23</f>
        <v>24.874028911397382</v>
      </c>
      <c r="E23" s="158">
        <f>'Base de Dados P1'!E23</f>
        <v>11.956110000000001</v>
      </c>
      <c r="F23" s="158">
        <f>'Base de Dados P1'!F23</f>
        <v>2.9923553361053337</v>
      </c>
      <c r="G23" s="46">
        <f t="shared" si="0"/>
        <v>165798.03057865545</v>
      </c>
      <c r="H23" s="46">
        <f t="shared" si="1"/>
        <v>1.4428425183348379</v>
      </c>
      <c r="I23" s="46">
        <f t="shared" si="2"/>
        <v>2.4577574381776119</v>
      </c>
      <c r="J23" s="50">
        <f>'Base de Dados P1'!H23</f>
        <v>5540720</v>
      </c>
      <c r="L23" s="56" t="s">
        <v>109</v>
      </c>
      <c r="M23" s="57">
        <f>L21-$O$21*$P$21^2</f>
        <v>65.587606476215214</v>
      </c>
      <c r="O23" s="192" t="s">
        <v>114</v>
      </c>
      <c r="P23" s="193"/>
      <c r="Q23" s="193"/>
      <c r="R23" s="193"/>
      <c r="S23" s="193"/>
      <c r="T23" s="107"/>
    </row>
    <row r="24" spans="1:27" ht="16.5" thickBot="1" x14ac:dyDescent="0.3">
      <c r="A24" s="49" t="s">
        <v>21</v>
      </c>
      <c r="B24" s="158">
        <f>'Base de Dados P1'!C24</f>
        <v>2.2444601058960001</v>
      </c>
      <c r="C24" s="46">
        <v>1</v>
      </c>
      <c r="D24" s="158">
        <f>'Base de Dados P1'!D24</f>
        <v>28.303837482940651</v>
      </c>
      <c r="E24" s="158">
        <f>'Base de Dados P1'!E24</f>
        <v>10.069129999999999</v>
      </c>
      <c r="F24" s="158">
        <f>'Base de Dados P1'!F24</f>
        <v>1.9656578188557319</v>
      </c>
      <c r="G24" s="46">
        <f t="shared" si="0"/>
        <v>1283053.8726131562</v>
      </c>
      <c r="H24" s="46">
        <f t="shared" si="1"/>
        <v>1.4899666384240122</v>
      </c>
      <c r="I24" s="46">
        <f t="shared" si="2"/>
        <v>0.75449346747198787</v>
      </c>
      <c r="J24" s="50">
        <f>'Base de Dados P1'!H24</f>
        <v>65273511</v>
      </c>
      <c r="L24" s="59" t="s">
        <v>110</v>
      </c>
      <c r="M24" s="58">
        <f>M21-$O$21*$P$21^2</f>
        <v>12.597540129983543</v>
      </c>
      <c r="O24" s="108" t="s">
        <v>115</v>
      </c>
      <c r="P24" s="109" t="s">
        <v>116</v>
      </c>
      <c r="Q24" s="109" t="s">
        <v>117</v>
      </c>
      <c r="R24" s="109" t="s">
        <v>118</v>
      </c>
      <c r="S24" s="109" t="s">
        <v>119</v>
      </c>
      <c r="T24" s="111" t="s">
        <v>155</v>
      </c>
    </row>
    <row r="25" spans="1:27" ht="16.5" customHeight="1" thickBot="1" x14ac:dyDescent="0.3">
      <c r="A25" s="49" t="s">
        <v>22</v>
      </c>
      <c r="B25" s="158">
        <f>'Base de Dados P1'!C25</f>
        <v>2.8035199642181401</v>
      </c>
      <c r="C25" s="46">
        <v>1</v>
      </c>
      <c r="D25" s="158">
        <f>'Base de Dados P1'!D25</f>
        <v>20.386593257709869</v>
      </c>
      <c r="E25" s="158">
        <f>'Base de Dados P1'!E25</f>
        <v>10.616580000000001</v>
      </c>
      <c r="F25" s="158">
        <f>'Base de Dados P1'!F25</f>
        <v>4.0907695122806729</v>
      </c>
      <c r="G25" s="46">
        <f t="shared" si="0"/>
        <v>3427407.9555229219</v>
      </c>
      <c r="H25" s="46">
        <f t="shared" si="1"/>
        <v>1.5408652820296329</v>
      </c>
      <c r="I25" s="46">
        <f t="shared" si="2"/>
        <v>1.2626546821885072</v>
      </c>
      <c r="J25" s="50">
        <f>'Base de Dados P1'!H25</f>
        <v>83783942</v>
      </c>
      <c r="L25" s="59" t="s">
        <v>111</v>
      </c>
      <c r="M25" s="58">
        <f>L21-M21</f>
        <v>52.990066346231671</v>
      </c>
      <c r="O25" s="71" t="s">
        <v>120</v>
      </c>
      <c r="P25" s="68">
        <v>3</v>
      </c>
      <c r="Q25" s="69">
        <f>M24</f>
        <v>12.597540129983543</v>
      </c>
      <c r="R25" s="69">
        <f>Q25/P25</f>
        <v>4.1991800433278472</v>
      </c>
      <c r="S25" s="70">
        <f>R25/R26</f>
        <v>4.754679885725186</v>
      </c>
      <c r="T25" s="112">
        <f>FINV(5%,P25,P26)</f>
        <v>2.7580782958425822</v>
      </c>
      <c r="V25" s="200" t="s">
        <v>156</v>
      </c>
      <c r="W25" s="200"/>
      <c r="X25" s="200"/>
      <c r="Y25" s="200"/>
      <c r="Z25" s="200"/>
      <c r="AA25" s="200"/>
    </row>
    <row r="26" spans="1:27" ht="16.5" thickBot="1" x14ac:dyDescent="0.3">
      <c r="A26" s="49" t="s">
        <v>23</v>
      </c>
      <c r="B26" s="158">
        <f>'Base de Dados P1'!C26</f>
        <v>0.37654998898506198</v>
      </c>
      <c r="C26" s="46">
        <v>1</v>
      </c>
      <c r="D26" s="158">
        <f>'Base de Dados P1'!D26</f>
        <v>67.750719621685832</v>
      </c>
      <c r="E26" s="158">
        <f>'Base de Dados P1'!E26</f>
        <v>21.244219999999999</v>
      </c>
      <c r="F26" s="158">
        <f>'Base de Dados P1'!F26</f>
        <v>7.8997402926816847</v>
      </c>
      <c r="G26" s="46">
        <f t="shared" si="0"/>
        <v>2454681.5613008044</v>
      </c>
      <c r="H26" s="46">
        <f t="shared" si="1"/>
        <v>0.41961760974037743</v>
      </c>
      <c r="I26" s="46">
        <f t="shared" si="2"/>
        <v>-4.306762075531545E-2</v>
      </c>
      <c r="J26" s="50">
        <f>'Base de Dados P1'!H26</f>
        <v>31072940</v>
      </c>
      <c r="L26" s="59" t="s">
        <v>113</v>
      </c>
      <c r="M26" s="58" t="b">
        <f>M24+M25=M23</f>
        <v>1</v>
      </c>
      <c r="O26" s="71" t="s">
        <v>121</v>
      </c>
      <c r="P26" s="68">
        <f>O21-(P25+1)</f>
        <v>60</v>
      </c>
      <c r="Q26" s="69">
        <f>M25</f>
        <v>52.990066346231671</v>
      </c>
      <c r="R26" s="69">
        <f t="shared" ref="R26:R27" si="3">Q26/P26</f>
        <v>0.88316777243719458</v>
      </c>
      <c r="S26" s="68"/>
      <c r="T26" s="80"/>
      <c r="V26" s="200"/>
      <c r="W26" s="200"/>
      <c r="X26" s="200"/>
      <c r="Y26" s="200"/>
      <c r="Z26" s="200"/>
      <c r="AA26" s="200"/>
    </row>
    <row r="27" spans="1:27" ht="16.5" thickBot="1" x14ac:dyDescent="0.3">
      <c r="A27" s="49" t="s">
        <v>24</v>
      </c>
      <c r="B27" s="158">
        <f>'Base de Dados P1'!C27</f>
        <v>4.3499998748302501E-2</v>
      </c>
      <c r="C27" s="46">
        <v>1</v>
      </c>
      <c r="D27" s="158">
        <f>'Base de Dados P1'!D27</f>
        <v>76.807399855746468</v>
      </c>
      <c r="E27" s="158">
        <f>'Base de Dados P1'!E27</f>
        <v>19.29692</v>
      </c>
      <c r="F27" s="158">
        <f>'Base de Dados P1'!F27</f>
        <v>2.8693723892527601</v>
      </c>
      <c r="G27" s="46">
        <f t="shared" si="0"/>
        <v>514064.36156980292</v>
      </c>
      <c r="H27" s="46">
        <f t="shared" si="1"/>
        <v>0.45440599288496486</v>
      </c>
      <c r="I27" s="46">
        <f t="shared" si="2"/>
        <v>-0.41090599413666234</v>
      </c>
      <c r="J27" s="50">
        <f>'Base de Dados P1'!H27</f>
        <v>17915568</v>
      </c>
      <c r="L27" s="59" t="s">
        <v>112</v>
      </c>
      <c r="M27" s="75">
        <f>M24/M23</f>
        <v>0.19207196003641225</v>
      </c>
      <c r="O27" s="72" t="s">
        <v>122</v>
      </c>
      <c r="P27" s="73">
        <f>O21-1</f>
        <v>63</v>
      </c>
      <c r="Q27" s="74">
        <f>M23</f>
        <v>65.587606476215214</v>
      </c>
      <c r="R27" s="73">
        <f t="shared" si="3"/>
        <v>1.0410731186700828</v>
      </c>
      <c r="S27" s="110"/>
      <c r="T27" s="81"/>
      <c r="V27" s="200"/>
      <c r="W27" s="200"/>
      <c r="X27" s="200"/>
      <c r="Y27" s="200"/>
      <c r="Z27" s="200"/>
      <c r="AA27" s="200"/>
    </row>
    <row r="28" spans="1:27" ht="16.5" thickBot="1" x14ac:dyDescent="0.3">
      <c r="A28" s="49" t="s">
        <v>75</v>
      </c>
      <c r="B28" s="158">
        <f>'Base de Dados P1'!C28</f>
        <v>0.74927002191543601</v>
      </c>
      <c r="C28" s="46">
        <v>1</v>
      </c>
      <c r="D28" s="158">
        <f>'Base de Dados P1'!D28</f>
        <v>16.200772379695994</v>
      </c>
      <c r="E28" s="158">
        <f>'Base de Dados P1'!E28</f>
        <v>19.909549999999999</v>
      </c>
      <c r="F28" s="158">
        <f>'Base de Dados P1'!F28</f>
        <v>6.7676105587932938</v>
      </c>
      <c r="G28" s="46">
        <f t="shared" si="0"/>
        <v>507366.47774672712</v>
      </c>
      <c r="H28" s="46">
        <f t="shared" si="1"/>
        <v>1.1756953645034964</v>
      </c>
      <c r="I28" s="46">
        <f t="shared" si="2"/>
        <v>-0.42642534258806042</v>
      </c>
      <c r="J28" s="50">
        <f>'Base de Dados P1'!H28</f>
        <v>7496981</v>
      </c>
      <c r="L28" s="60" t="s">
        <v>144</v>
      </c>
      <c r="M28" s="67">
        <f>1-(R26/R27)</f>
        <v>0.15167555803823285</v>
      </c>
      <c r="O28" s="199" t="s">
        <v>164</v>
      </c>
      <c r="P28" s="199"/>
      <c r="Q28" s="199"/>
      <c r="R28" s="199"/>
      <c r="S28" s="199"/>
      <c r="T28" s="199"/>
      <c r="V28" s="200"/>
      <c r="W28" s="200"/>
      <c r="X28" s="200"/>
      <c r="Y28" s="200"/>
      <c r="Z28" s="200"/>
      <c r="AA28" s="200"/>
    </row>
    <row r="29" spans="1:27" ht="16.5" customHeight="1" thickBot="1" x14ac:dyDescent="0.3">
      <c r="A29" s="49" t="s">
        <v>26</v>
      </c>
      <c r="B29" s="158">
        <f>'Base de Dados P1'!C29</f>
        <v>1.1700299978256199</v>
      </c>
      <c r="C29" s="46">
        <v>1</v>
      </c>
      <c r="D29" s="158">
        <f>'Base de Dados P1'!D29</f>
        <v>21.336266525980655</v>
      </c>
      <c r="E29" s="158">
        <f>'Base de Dados P1'!E29</f>
        <v>9.6849799999999995</v>
      </c>
      <c r="F29" s="158">
        <f>'Base de Dados P1'!F29</f>
        <v>0.7891168795250536</v>
      </c>
      <c r="G29" s="46">
        <f t="shared" si="0"/>
        <v>76231.460362367317</v>
      </c>
      <c r="H29" s="46">
        <f t="shared" si="1"/>
        <v>1.6158206661193559</v>
      </c>
      <c r="I29" s="46">
        <f t="shared" si="2"/>
        <v>-0.44579066829373604</v>
      </c>
      <c r="J29" s="50">
        <f>'Base de Dados P1'!H29</f>
        <v>9660351</v>
      </c>
      <c r="O29" s="200"/>
      <c r="P29" s="200"/>
      <c r="Q29" s="200"/>
      <c r="R29" s="200"/>
      <c r="S29" s="200"/>
      <c r="T29" s="200"/>
    </row>
    <row r="30" spans="1:27" ht="16.5" thickBot="1" x14ac:dyDescent="0.3">
      <c r="A30" s="49" t="s">
        <v>27</v>
      </c>
      <c r="B30" s="158">
        <f>'Base de Dados P1'!C30</f>
        <v>0.79717999696731601</v>
      </c>
      <c r="C30" s="46">
        <v>1</v>
      </c>
      <c r="D30" s="158">
        <f>'Base de Dados P1'!D30</f>
        <v>46.591041531705308</v>
      </c>
      <c r="E30" s="158">
        <f>'Base de Dados P1'!E30</f>
        <v>11.74278</v>
      </c>
      <c r="F30" s="158">
        <f>'Base de Dados P1'!F30</f>
        <v>10.259962989017396</v>
      </c>
      <c r="G30" s="46">
        <f t="shared" si="0"/>
        <v>141587939.14781713</v>
      </c>
      <c r="H30" s="46">
        <f t="shared" si="1"/>
        <v>1.0544894405952081</v>
      </c>
      <c r="I30" s="46">
        <f t="shared" si="2"/>
        <v>-0.2573094436278921</v>
      </c>
      <c r="J30" s="50">
        <f>'Base de Dados P1'!H30</f>
        <v>1380004385</v>
      </c>
      <c r="L30" s="63" t="s">
        <v>151</v>
      </c>
      <c r="M30" s="64">
        <f>(M23-M24)/P26</f>
        <v>0.88316777243719458</v>
      </c>
      <c r="O30" s="200"/>
      <c r="P30" s="200"/>
      <c r="Q30" s="200"/>
      <c r="R30" s="200"/>
      <c r="S30" s="200"/>
      <c r="T30" s="200"/>
    </row>
    <row r="31" spans="1:27" ht="16.5" thickBot="1" x14ac:dyDescent="0.3">
      <c r="A31" s="49" t="s">
        <v>28</v>
      </c>
      <c r="B31" s="158">
        <f>'Base de Dados P1'!C31</f>
        <v>1.6885299682617201</v>
      </c>
      <c r="C31" s="46">
        <v>1</v>
      </c>
      <c r="D31" s="158">
        <f>'Base de Dados P1'!D31</f>
        <v>31.700321689171012</v>
      </c>
      <c r="E31" s="158">
        <f>'Base de Dados P1'!E31</f>
        <v>9.2955100000000002</v>
      </c>
      <c r="F31" s="158">
        <f>'Base de Dados P1'!F31</f>
        <v>-0.27550500952816037</v>
      </c>
      <c r="G31" s="46">
        <f t="shared" si="0"/>
        <v>-13603.847789780169</v>
      </c>
      <c r="H31" s="46">
        <f t="shared" si="1"/>
        <v>1.5100947580650974</v>
      </c>
      <c r="I31" s="46">
        <f t="shared" si="2"/>
        <v>0.17843521019662267</v>
      </c>
      <c r="J31" s="50">
        <f>'Base de Dados P1'!H31</f>
        <v>4937786</v>
      </c>
      <c r="O31" s="200"/>
      <c r="P31" s="200"/>
      <c r="Q31" s="200"/>
      <c r="R31" s="200"/>
      <c r="S31" s="200"/>
      <c r="T31" s="200"/>
    </row>
    <row r="32" spans="1:27" ht="16.5" thickBot="1" x14ac:dyDescent="0.3">
      <c r="A32" s="49" t="s">
        <v>29</v>
      </c>
      <c r="B32" s="158">
        <f>'Base de Dados P1'!C32</f>
        <v>3.9650099277496298</v>
      </c>
      <c r="C32" s="46">
        <v>1</v>
      </c>
      <c r="D32" s="158">
        <f>'Base de Dados P1'!D32</f>
        <v>43.702014433578533</v>
      </c>
      <c r="E32" s="158">
        <f>'Base de Dados P1'!E32</f>
        <v>13.259320000000001</v>
      </c>
      <c r="F32" s="158">
        <f>'Base de Dados P1'!F32</f>
        <v>5.7505321840403809</v>
      </c>
      <c r="G32" s="46">
        <f t="shared" si="0"/>
        <v>497739.32587587961</v>
      </c>
      <c r="H32" s="46">
        <f t="shared" si="1"/>
        <v>1.0981946549696864</v>
      </c>
      <c r="I32" s="46">
        <f t="shared" si="2"/>
        <v>2.8668152727799434</v>
      </c>
      <c r="J32" s="50">
        <f>'Base de Dados P1'!H32</f>
        <v>8655535</v>
      </c>
      <c r="L32" s="196" t="s">
        <v>152</v>
      </c>
      <c r="M32" s="197"/>
      <c r="N32" s="197"/>
      <c r="O32" s="198"/>
    </row>
    <row r="33" spans="1:24" ht="16.5" thickBot="1" x14ac:dyDescent="0.3">
      <c r="A33" s="49" t="s">
        <v>30</v>
      </c>
      <c r="B33" s="158">
        <f>'Base de Dados P1'!C33</f>
        <v>1.2645800113678001</v>
      </c>
      <c r="C33" s="46">
        <v>1</v>
      </c>
      <c r="D33" s="158">
        <f>'Base de Dados P1'!D33</f>
        <v>21.380458591778407</v>
      </c>
      <c r="E33" s="158">
        <f>'Base de Dados P1'!E33</f>
        <v>8.7239500000000003</v>
      </c>
      <c r="F33" s="158">
        <f>'Base de Dados P1'!F33</f>
        <v>1.7105824180637654</v>
      </c>
      <c r="G33" s="46">
        <f t="shared" si="0"/>
        <v>1034249.3651963064</v>
      </c>
      <c r="H33" s="46">
        <f t="shared" si="1"/>
        <v>1.640816024552191</v>
      </c>
      <c r="I33" s="46">
        <f t="shared" si="2"/>
        <v>-0.37623601318439093</v>
      </c>
      <c r="J33" s="50">
        <f>'Base de Dados P1'!H33</f>
        <v>60461826</v>
      </c>
      <c r="L33" s="102">
        <f t="array" ref="L33:O36">Q9:T12*M30</f>
        <v>0.18486467117199207</v>
      </c>
      <c r="M33" s="97">
        <v>4.0243720992324714E-4</v>
      </c>
      <c r="N33" s="97">
        <v>-1.3456021695309033E-2</v>
      </c>
      <c r="O33" s="99">
        <v>1.4868134743672727E-3</v>
      </c>
    </row>
    <row r="34" spans="1:24" ht="16.5" thickBot="1" x14ac:dyDescent="0.3">
      <c r="A34" s="49" t="s">
        <v>31</v>
      </c>
      <c r="B34" s="158">
        <f>'Base de Dados P1'!C34</f>
        <v>3.2539401054382302</v>
      </c>
      <c r="C34" s="46">
        <v>1</v>
      </c>
      <c r="D34" s="158">
        <f>'Base de Dados P1'!D34</f>
        <v>20.841026924106647</v>
      </c>
      <c r="E34" s="158">
        <f>'Base de Dados P1'!E34</f>
        <v>9.4575800000000001</v>
      </c>
      <c r="F34" s="158">
        <f>'Base de Dados P1'!F34</f>
        <v>4.6520301434902223</v>
      </c>
      <c r="G34" s="46">
        <f t="shared" si="0"/>
        <v>5883723.0901396545</v>
      </c>
      <c r="H34" s="46">
        <f t="shared" si="1"/>
        <v>1.5739131887515172</v>
      </c>
      <c r="I34" s="46">
        <f t="shared" si="2"/>
        <v>1.680026916686713</v>
      </c>
      <c r="J34" s="50">
        <f>'Base de Dados P1'!H34</f>
        <v>126476461</v>
      </c>
      <c r="L34" s="98">
        <v>4.0243720992325197E-4</v>
      </c>
      <c r="M34" s="103">
        <v>4.5037027140100872E-5</v>
      </c>
      <c r="N34" s="97">
        <v>-1.5360915381295513E-4</v>
      </c>
      <c r="O34" s="99">
        <v>1.5472654175933371E-5</v>
      </c>
    </row>
    <row r="35" spans="1:24" ht="16.5" thickBot="1" x14ac:dyDescent="0.3">
      <c r="A35" s="49" t="s">
        <v>32</v>
      </c>
      <c r="B35" s="158">
        <f>'Base de Dados P1'!C35</f>
        <v>0.97617000341415405</v>
      </c>
      <c r="C35" s="46">
        <v>1</v>
      </c>
      <c r="D35" s="158">
        <f>'Base de Dados P1'!D35</f>
        <v>77.647765878876569</v>
      </c>
      <c r="E35" s="158">
        <f>'Base de Dados P1'!E35</f>
        <v>20.555990000000001</v>
      </c>
      <c r="F35" s="158">
        <f>'Base de Dados P1'!F35</f>
        <v>8.4022770637024706</v>
      </c>
      <c r="G35" s="46">
        <f t="shared" ref="G35:G66" si="4">F35*J35/100</f>
        <v>4518013.2706635641</v>
      </c>
      <c r="H35" s="46">
        <f t="shared" ref="H35:H66" si="5">$M$15+SUMPRODUCT(D35:F35,$N$40:$P$40)</f>
        <v>0.3088828998679416</v>
      </c>
      <c r="I35" s="46">
        <f t="shared" ref="I35:I66" si="6">B35-H35</f>
        <v>0.66728710354621246</v>
      </c>
      <c r="J35" s="50">
        <f>'Base de Dados P1'!H35</f>
        <v>53771296</v>
      </c>
      <c r="L35" s="98">
        <v>-1.3456021695309045E-2</v>
      </c>
      <c r="M35" s="97">
        <v>-1.5360915381295478E-4</v>
      </c>
      <c r="N35" s="103">
        <v>1.4734465763886822E-3</v>
      </c>
      <c r="O35" s="99">
        <v>-4.042383748170298E-4</v>
      </c>
    </row>
    <row r="36" spans="1:24" ht="16.5" thickBot="1" x14ac:dyDescent="0.3">
      <c r="A36" s="49" t="s">
        <v>33</v>
      </c>
      <c r="B36" s="158">
        <f>'Base de Dados P1'!C36</f>
        <v>0.15546999871730799</v>
      </c>
      <c r="C36" s="46">
        <v>1</v>
      </c>
      <c r="D36" s="158">
        <f>'Base de Dados P1'!D36</f>
        <v>45.855310265538492</v>
      </c>
      <c r="E36" s="158">
        <f>'Base de Dados P1'!E36</f>
        <v>15.684760000000001</v>
      </c>
      <c r="F36" s="158">
        <f>'Base de Dados P1'!F36</f>
        <v>-0.47156684750859768</v>
      </c>
      <c r="G36" s="46">
        <f t="shared" si="4"/>
        <v>-30765.940686813556</v>
      </c>
      <c r="H36" s="46">
        <f t="shared" si="5"/>
        <v>1.0633414486780206</v>
      </c>
      <c r="I36" s="46">
        <f t="shared" si="6"/>
        <v>-0.90787144996071256</v>
      </c>
      <c r="J36" s="50">
        <f>'Base de Dados P1'!H36</f>
        <v>6524195</v>
      </c>
      <c r="L36" s="100">
        <v>1.4868134743672786E-3</v>
      </c>
      <c r="M36" s="101">
        <v>1.5472654175933262E-5</v>
      </c>
      <c r="N36" s="101">
        <v>-4.0423837481702986E-4</v>
      </c>
      <c r="O36" s="104">
        <v>8.4787137154095527E-4</v>
      </c>
    </row>
    <row r="37" spans="1:24" ht="16.5" thickBot="1" x14ac:dyDescent="0.3">
      <c r="A37" s="49" t="s">
        <v>34</v>
      </c>
      <c r="B37" s="158">
        <f>'Base de Dados P1'!C37</f>
        <v>0.60458999872207597</v>
      </c>
      <c r="C37" s="46">
        <v>1</v>
      </c>
      <c r="D37" s="158">
        <f>'Base de Dados P1'!D37</f>
        <v>20.978530825946716</v>
      </c>
      <c r="E37" s="158">
        <f>'Base de Dados P1'!E37</f>
        <v>8.1226400000000005</v>
      </c>
      <c r="F37" s="158">
        <f>'Base de Dados P1'!F37</f>
        <v>-2.8736096958718207</v>
      </c>
      <c r="G37" s="46">
        <f t="shared" si="4"/>
        <v>-54201.968611340366</v>
      </c>
      <c r="H37" s="46">
        <f t="shared" si="5"/>
        <v>1.7393768132522536</v>
      </c>
      <c r="I37" s="46">
        <f t="shared" si="6"/>
        <v>-1.1347868145301776</v>
      </c>
      <c r="J37" s="50">
        <f>'Base de Dados P1'!H37</f>
        <v>1886198</v>
      </c>
    </row>
    <row r="38" spans="1:24" ht="16.5" thickBot="1" x14ac:dyDescent="0.3">
      <c r="A38" s="49" t="s">
        <v>76</v>
      </c>
      <c r="B38" s="158">
        <f>'Base de Dados P1'!C38</f>
        <v>5.1720000803470598E-2</v>
      </c>
      <c r="C38" s="46">
        <v>1</v>
      </c>
      <c r="D38" s="158">
        <f>'Base de Dados P1'!D38</f>
        <v>15.888046941425996</v>
      </c>
      <c r="E38" s="158">
        <f>'Base de Dados P1'!E38</f>
        <v>15.67268</v>
      </c>
      <c r="F38" s="158">
        <f>'Base de Dados P1'!F38</f>
        <v>27.498964227387361</v>
      </c>
      <c r="G38" s="46">
        <f t="shared" si="4"/>
        <v>178560.3993659057</v>
      </c>
      <c r="H38" s="46">
        <f t="shared" si="5"/>
        <v>1.0432226995902836</v>
      </c>
      <c r="I38" s="46">
        <f t="shared" si="6"/>
        <v>-0.99150269878681296</v>
      </c>
      <c r="J38" s="50">
        <f>'Base de Dados P1'!H38</f>
        <v>649335</v>
      </c>
    </row>
    <row r="39" spans="1:24" ht="16.5" thickBot="1" x14ac:dyDescent="0.3">
      <c r="A39" s="49" t="s">
        <v>36</v>
      </c>
      <c r="B39" s="158">
        <f>'Base de Dados P1'!C39</f>
        <v>1.0673999786377</v>
      </c>
      <c r="C39" s="46">
        <v>1</v>
      </c>
      <c r="D39" s="158">
        <f>'Base de Dados P1'!D39</f>
        <v>41.026654057019734</v>
      </c>
      <c r="E39" s="158">
        <f>'Base de Dados P1'!E39</f>
        <v>18.406230000000001</v>
      </c>
      <c r="F39" s="158">
        <f>'Base de Dados P1'!F39</f>
        <v>7.4259704961548607</v>
      </c>
      <c r="G39" s="46">
        <f t="shared" si="4"/>
        <v>2403489.5365257771</v>
      </c>
      <c r="H39" s="46">
        <f t="shared" si="5"/>
        <v>0.8978002419299369</v>
      </c>
      <c r="I39" s="46">
        <f t="shared" si="6"/>
        <v>0.16959973670776307</v>
      </c>
      <c r="J39" s="50">
        <f>'Base de Dados P1'!H39</f>
        <v>32365999</v>
      </c>
      <c r="L39" s="194"/>
      <c r="M39" s="92" t="s">
        <v>99</v>
      </c>
      <c r="N39" s="91" t="s">
        <v>146</v>
      </c>
      <c r="O39" s="92" t="s">
        <v>147</v>
      </c>
      <c r="P39" s="57" t="s">
        <v>148</v>
      </c>
    </row>
    <row r="40" spans="1:24" ht="16.5" thickBot="1" x14ac:dyDescent="0.3">
      <c r="A40" s="49" t="s">
        <v>37</v>
      </c>
      <c r="B40" s="158">
        <f>'Base de Dados P1'!C40</f>
        <v>0.66141998767852805</v>
      </c>
      <c r="C40" s="46">
        <v>1</v>
      </c>
      <c r="D40" s="158">
        <f>'Base de Dados P1'!D40</f>
        <v>93.034395415081789</v>
      </c>
      <c r="E40" s="158">
        <f>'Base de Dados P1'!E40</f>
        <v>16.503910000000001</v>
      </c>
      <c r="F40" s="158">
        <f>'Base de Dados P1'!F40</f>
        <v>5.8193148304095388</v>
      </c>
      <c r="G40" s="46">
        <f t="shared" si="4"/>
        <v>1178459.728050469</v>
      </c>
      <c r="H40" s="46">
        <f t="shared" si="5"/>
        <v>0.30922953892532079</v>
      </c>
      <c r="I40" s="46">
        <f t="shared" si="6"/>
        <v>0.35219044875320726</v>
      </c>
      <c r="J40" s="50">
        <f>'Base de Dados P1'!H40</f>
        <v>20250833</v>
      </c>
      <c r="L40" s="195"/>
      <c r="M40" s="76">
        <v>2.3076780004490018</v>
      </c>
      <c r="N40" s="77">
        <v>-1.3277651311562996E-2</v>
      </c>
      <c r="O40" s="76">
        <v>-4.0965978469567996E-2</v>
      </c>
      <c r="P40" s="58">
        <v>-1.4962479266710238E-2</v>
      </c>
    </row>
    <row r="41" spans="1:24" ht="16.5" customHeight="1" thickBot="1" x14ac:dyDescent="0.3">
      <c r="A41" s="49" t="s">
        <v>38</v>
      </c>
      <c r="B41" s="158">
        <f>'Base de Dados P1'!C41</f>
        <v>0.68136000633239702</v>
      </c>
      <c r="C41" s="46">
        <v>1</v>
      </c>
      <c r="D41" s="158">
        <f>'Base de Dados P1'!D41</f>
        <v>22.35562152645932</v>
      </c>
      <c r="E41" s="158">
        <f>'Base de Dados P1'!E41</f>
        <v>15.73082</v>
      </c>
      <c r="F41" s="158">
        <f>'Base de Dados P1'!F41</f>
        <v>4.2999999999999261</v>
      </c>
      <c r="G41" s="46">
        <f t="shared" si="4"/>
        <v>18986.348999999675</v>
      </c>
      <c r="H41" s="46">
        <f t="shared" si="5"/>
        <v>1.3020807586919008</v>
      </c>
      <c r="I41" s="46">
        <f t="shared" si="6"/>
        <v>-0.62072075235950375</v>
      </c>
      <c r="J41" s="50">
        <f>'Base de Dados P1'!H41</f>
        <v>441543</v>
      </c>
      <c r="L41" s="95" t="s">
        <v>149</v>
      </c>
      <c r="M41" s="96">
        <f>M40/SQRT(L33)</f>
        <v>5.3672058045843452</v>
      </c>
      <c r="N41" s="96">
        <f>N40/SQRT(M34)</f>
        <v>-1.978501581038046</v>
      </c>
      <c r="O41" s="96">
        <f>O40/SQRT(N35)</f>
        <v>-1.0672253569782379</v>
      </c>
      <c r="P41" s="94">
        <f>P40/SQRT(O36)</f>
        <v>-0.51385262075428451</v>
      </c>
      <c r="R41" s="186" t="s">
        <v>181</v>
      </c>
      <c r="S41" s="186"/>
      <c r="T41" s="186"/>
      <c r="U41" s="186"/>
      <c r="V41" s="186"/>
      <c r="W41" s="186"/>
      <c r="X41" s="186"/>
    </row>
    <row r="42" spans="1:24" ht="16.5" thickBot="1" x14ac:dyDescent="0.3">
      <c r="A42" s="49" t="s">
        <v>39</v>
      </c>
      <c r="B42" s="158">
        <f>'Base de Dados P1'!C42</f>
        <v>0.45592001080513</v>
      </c>
      <c r="C42" s="46">
        <v>1</v>
      </c>
      <c r="D42" s="158">
        <f>'Base de Dados P1'!D42</f>
        <v>46.964942568096397</v>
      </c>
      <c r="E42" s="158">
        <f>'Base de Dados P1'!E42</f>
        <v>19.319980000000001</v>
      </c>
      <c r="F42" s="158">
        <f>'Base de Dados P1'!F42</f>
        <v>5.11019873147265</v>
      </c>
      <c r="G42" s="46">
        <f t="shared" si="4"/>
        <v>6588719.908258765</v>
      </c>
      <c r="H42" s="46">
        <f t="shared" si="5"/>
        <v>0.8161707418813231</v>
      </c>
      <c r="I42" s="46">
        <f t="shared" si="6"/>
        <v>-0.3602507310761931</v>
      </c>
      <c r="J42" s="50">
        <f>'Base de Dados P1'!H42</f>
        <v>128932753</v>
      </c>
      <c r="L42" s="93" t="s">
        <v>150</v>
      </c>
      <c r="M42" s="204">
        <f>TINV(5%,P26)</f>
        <v>2.0002978220142609</v>
      </c>
      <c r="N42" s="204"/>
      <c r="O42" s="204"/>
      <c r="P42" s="205"/>
      <c r="R42" s="186"/>
      <c r="S42" s="186"/>
      <c r="T42" s="186"/>
      <c r="U42" s="186"/>
      <c r="V42" s="186"/>
      <c r="W42" s="186"/>
      <c r="X42" s="186"/>
    </row>
    <row r="43" spans="1:24" ht="16.5" thickBot="1" x14ac:dyDescent="0.3">
      <c r="A43" s="49" t="s">
        <v>40</v>
      </c>
      <c r="B43" s="158">
        <f>'Base de Dados P1'!C43</f>
        <v>0.43986999988555903</v>
      </c>
      <c r="C43" s="46">
        <v>1</v>
      </c>
      <c r="D43" s="158">
        <f>'Base de Dados P1'!D43</f>
        <v>23.097969840114018</v>
      </c>
      <c r="E43" s="158">
        <f>'Base de Dados P1'!E43</f>
        <v>22.336099999999998</v>
      </c>
      <c r="F43" s="158">
        <f>'Base de Dados P1'!F43</f>
        <v>7.0940717618723852</v>
      </c>
      <c r="G43" s="46">
        <f t="shared" si="4"/>
        <v>286172.23006738012</v>
      </c>
      <c r="H43" s="46">
        <f t="shared" si="5"/>
        <v>0.97982611755928173</v>
      </c>
      <c r="I43" s="46">
        <f t="shared" si="6"/>
        <v>-0.53995611767372265</v>
      </c>
      <c r="J43" s="50">
        <f>'Base de Dados P1'!H43</f>
        <v>4033963</v>
      </c>
      <c r="R43" s="186"/>
      <c r="S43" s="186"/>
      <c r="T43" s="186"/>
      <c r="U43" s="186"/>
      <c r="V43" s="186"/>
      <c r="W43" s="186"/>
      <c r="X43" s="186"/>
    </row>
    <row r="44" spans="1:24" ht="16.5" thickBot="1" x14ac:dyDescent="0.3">
      <c r="A44" s="49" t="s">
        <v>41</v>
      </c>
      <c r="B44" s="158">
        <f>'Base de Dados P1'!C44</f>
        <v>0.28334999084472701</v>
      </c>
      <c r="C44" s="46">
        <v>1</v>
      </c>
      <c r="D44" s="158">
        <f>'Base de Dados P1'!D44</f>
        <v>38.931399323039599</v>
      </c>
      <c r="E44" s="158">
        <f>'Base de Dados P1'!E44</f>
        <v>14.71114</v>
      </c>
      <c r="F44" s="158">
        <f>'Base de Dados P1'!F44</f>
        <v>6.3651616849400057</v>
      </c>
      <c r="G44" s="46">
        <f t="shared" si="4"/>
        <v>208668.45900121971</v>
      </c>
      <c r="H44" s="46">
        <f t="shared" si="5"/>
        <v>1.0928656109234887</v>
      </c>
      <c r="I44" s="46">
        <f t="shared" si="6"/>
        <v>-0.80951562007876166</v>
      </c>
      <c r="J44" s="50">
        <f>'Base de Dados P1'!H44</f>
        <v>3278290</v>
      </c>
    </row>
    <row r="45" spans="1:24" ht="16.5" thickBot="1" x14ac:dyDescent="0.3">
      <c r="A45" s="49" t="s">
        <v>42</v>
      </c>
      <c r="B45" s="158">
        <f>'Base de Dados P1'!C45</f>
        <v>0.14440999925136599</v>
      </c>
      <c r="C45" s="46">
        <v>1</v>
      </c>
      <c r="D45" s="158">
        <f>'Base de Dados P1'!D45</f>
        <v>64.003760570758601</v>
      </c>
      <c r="E45" s="158">
        <f>'Base de Dados P1'!E45</f>
        <v>26.193249999999999</v>
      </c>
      <c r="F45" s="158">
        <f>'Base de Dados P1'!F45</f>
        <v>5.9637801567363766</v>
      </c>
      <c r="G45" s="46">
        <f t="shared" si="4"/>
        <v>151533.98819152243</v>
      </c>
      <c r="H45" s="46">
        <f t="shared" si="5"/>
        <v>0.29559333246730723</v>
      </c>
      <c r="I45" s="46">
        <f t="shared" si="6"/>
        <v>-0.15118333321594124</v>
      </c>
      <c r="J45" s="50">
        <f>'Base de Dados P1'!H45</f>
        <v>2540905</v>
      </c>
      <c r="L45" s="201" t="s">
        <v>157</v>
      </c>
      <c r="M45" s="202"/>
      <c r="N45" s="203"/>
    </row>
    <row r="46" spans="1:24" ht="16.5" thickBot="1" x14ac:dyDescent="0.3">
      <c r="A46" s="49" t="s">
        <v>43</v>
      </c>
      <c r="B46" s="158">
        <f>'Base de Dados P1'!C46</f>
        <v>0.30219998955726601</v>
      </c>
      <c r="C46" s="46">
        <v>1</v>
      </c>
      <c r="D46" s="158">
        <f>'Base de Dados P1'!D46</f>
        <v>64.012022127870878</v>
      </c>
      <c r="E46" s="158">
        <f>'Base de Dados P1'!E46</f>
        <v>20.81352</v>
      </c>
      <c r="F46" s="158">
        <f>'Base de Dados P1'!F46</f>
        <v>4.8164146502244023</v>
      </c>
      <c r="G46" s="46">
        <f t="shared" si="4"/>
        <v>1403349.4891197556</v>
      </c>
      <c r="H46" s="46">
        <f t="shared" si="5"/>
        <v>0.53303697434729269</v>
      </c>
      <c r="I46" s="46">
        <f t="shared" si="6"/>
        <v>-0.23083698479002668</v>
      </c>
      <c r="J46" s="50">
        <f>'Base de Dados P1'!H46</f>
        <v>29136808</v>
      </c>
      <c r="L46" s="117"/>
      <c r="M46" s="118" t="s">
        <v>162</v>
      </c>
      <c r="N46" s="119" t="s">
        <v>163</v>
      </c>
    </row>
    <row r="47" spans="1:24" ht="16.5" thickBot="1" x14ac:dyDescent="0.3">
      <c r="A47" s="49" t="s">
        <v>44</v>
      </c>
      <c r="B47" s="158">
        <f>'Base de Dados P1'!C47</f>
        <v>1.8561999797821001</v>
      </c>
      <c r="C47" s="46">
        <v>1</v>
      </c>
      <c r="D47" s="158">
        <f>'Base de Dados P1'!D47</f>
        <v>26.101342986602088</v>
      </c>
      <c r="E47" s="158">
        <f>'Base de Dados P1'!E47</f>
        <v>11.52436</v>
      </c>
      <c r="F47" s="158">
        <f>'Base de Dados P1'!F47</f>
        <v>1.0705038483302332</v>
      </c>
      <c r="G47" s="46">
        <f t="shared" si="4"/>
        <v>183429.4641664596</v>
      </c>
      <c r="H47" s="46">
        <f t="shared" si="5"/>
        <v>1.4729893942382639</v>
      </c>
      <c r="I47" s="46">
        <f t="shared" si="6"/>
        <v>0.38321058554383614</v>
      </c>
      <c r="J47" s="50">
        <f>'Base de Dados P1'!H47</f>
        <v>17134872</v>
      </c>
      <c r="L47" s="117" t="s">
        <v>158</v>
      </c>
      <c r="M47" s="116">
        <f>M40+M42*SQRT(L33)</f>
        <v>3.1677238876899225</v>
      </c>
      <c r="N47" s="121">
        <f>M40-M42*SQRT(L33)</f>
        <v>1.4476321132080812</v>
      </c>
    </row>
    <row r="48" spans="1:24" ht="16.5" thickBot="1" x14ac:dyDescent="0.3">
      <c r="A48" s="49" t="s">
        <v>45</v>
      </c>
      <c r="B48" s="158">
        <f>'Base de Dados P1'!C48</f>
        <v>1.6806099414825399</v>
      </c>
      <c r="C48" s="46">
        <v>1</v>
      </c>
      <c r="D48" s="158">
        <f>'Base de Dados P1'!D48</f>
        <v>28.409666470846908</v>
      </c>
      <c r="E48" s="158">
        <f>'Base de Dados P1'!E48</f>
        <v>15.30602</v>
      </c>
      <c r="F48" s="158">
        <f>'Base de Dados P1'!F48</f>
        <v>0.60193444078448977</v>
      </c>
      <c r="G48" s="46">
        <f t="shared" si="4"/>
        <v>32632.31669692948</v>
      </c>
      <c r="H48" s="46">
        <f t="shared" si="5"/>
        <v>1.2944318378063602</v>
      </c>
      <c r="I48" s="46">
        <f t="shared" si="6"/>
        <v>0.38617810367617977</v>
      </c>
      <c r="J48" s="50">
        <f>'Base de Dados P1'!H48</f>
        <v>5421241</v>
      </c>
      <c r="L48" s="117" t="s">
        <v>159</v>
      </c>
      <c r="M48" s="116">
        <f>N40+M42*SQRT(M34)</f>
        <v>1.4627377120070111E-4</v>
      </c>
      <c r="N48" s="121">
        <f>N40-M42*SQRT(M34)</f>
        <v>-2.6701576394326694E-2</v>
      </c>
    </row>
    <row r="49" spans="1:20" ht="16.5" thickBot="1" x14ac:dyDescent="0.3">
      <c r="A49" s="49" t="s">
        <v>46</v>
      </c>
      <c r="B49" s="158">
        <f>'Base de Dados P1'!C49</f>
        <v>0.73530000448226895</v>
      </c>
      <c r="C49" s="46">
        <v>1</v>
      </c>
      <c r="D49" s="158">
        <f>'Base de Dados P1'!D49</f>
        <v>21.002491759149297</v>
      </c>
      <c r="E49" s="158">
        <f>'Base de Dados P1'!E49</f>
        <v>11.108919999999999</v>
      </c>
      <c r="F49" s="158">
        <f>'Base de Dados P1'!F49</f>
        <v>3.7098103874690906</v>
      </c>
      <c r="G49" s="46">
        <f t="shared" si="4"/>
        <v>1404037.5061830196</v>
      </c>
      <c r="H49" s="46">
        <f t="shared" si="5"/>
        <v>1.5182184996509562</v>
      </c>
      <c r="I49" s="46">
        <f t="shared" si="6"/>
        <v>-0.78291849516868728</v>
      </c>
      <c r="J49" s="50">
        <f>'Base de Dados P1'!H49</f>
        <v>37846611</v>
      </c>
      <c r="L49" s="117" t="s">
        <v>160</v>
      </c>
      <c r="M49" s="116">
        <f>O40+M42*SQRT(N35)</f>
        <v>3.5816452695090789E-2</v>
      </c>
      <c r="N49" s="121">
        <f>O40-M42*SQRT(N35)</f>
        <v>-0.11774840963422678</v>
      </c>
    </row>
    <row r="50" spans="1:20" ht="16.5" thickBot="1" x14ac:dyDescent="0.3">
      <c r="A50" s="49" t="s">
        <v>47</v>
      </c>
      <c r="B50" s="158">
        <f>'Base de Dados P1'!C50</f>
        <v>1.59007000923157</v>
      </c>
      <c r="C50" s="46">
        <v>1</v>
      </c>
      <c r="D50" s="158">
        <f>'Base de Dados P1'!D50</f>
        <v>22.665676290055632</v>
      </c>
      <c r="E50" s="158">
        <f>'Base de Dados P1'!E50</f>
        <v>10.42656</v>
      </c>
      <c r="F50" s="158">
        <f>'Base de Dados P1'!F50</f>
        <v>1.8986750387770712</v>
      </c>
      <c r="G50" s="46">
        <f t="shared" si="4"/>
        <v>193602.36855973513</v>
      </c>
      <c r="H50" s="46">
        <f t="shared" si="5"/>
        <v>1.5511879355553013</v>
      </c>
      <c r="I50" s="46">
        <f t="shared" si="6"/>
        <v>3.8882073676268725E-2</v>
      </c>
      <c r="J50" s="50">
        <f>'Base de Dados P1'!H50</f>
        <v>10196709</v>
      </c>
      <c r="L50" s="120" t="s">
        <v>161</v>
      </c>
      <c r="M50" s="122">
        <f>P40+M42*SQRT(O36)</f>
        <v>4.3282654610782921E-2</v>
      </c>
      <c r="N50" s="123">
        <f>P40-M42*SQRT(O36)</f>
        <v>-7.3207613144203404E-2</v>
      </c>
    </row>
    <row r="51" spans="1:20" ht="16.5" thickBot="1" x14ac:dyDescent="0.3">
      <c r="A51" s="49" t="s">
        <v>48</v>
      </c>
      <c r="B51" s="158">
        <f>'Base de Dados P1'!C51</f>
        <v>0.46086001396179199</v>
      </c>
      <c r="C51" s="46">
        <v>1</v>
      </c>
      <c r="D51" s="158">
        <f>'Base de Dados P1'!D51</f>
        <v>21.402772707478693</v>
      </c>
      <c r="E51" s="158">
        <f>'Base de Dados P1'!E51</f>
        <v>9.12913</v>
      </c>
      <c r="F51" s="158">
        <f>'Base de Dados P1'!F51</f>
        <v>-0.9396559797708619</v>
      </c>
      <c r="G51" s="46">
        <f t="shared" si="4"/>
        <v>-180768.11385134092</v>
      </c>
      <c r="H51" s="46">
        <f t="shared" si="5"/>
        <v>1.6635752874277374</v>
      </c>
      <c r="I51" s="46">
        <f t="shared" si="6"/>
        <v>-1.2027152734659454</v>
      </c>
      <c r="J51" s="50">
        <f>'Base de Dados P1'!H51</f>
        <v>19237691</v>
      </c>
    </row>
    <row r="52" spans="1:20" ht="16.5" thickBot="1" x14ac:dyDescent="0.3">
      <c r="A52" s="49" t="s">
        <v>49</v>
      </c>
      <c r="B52" s="158">
        <f>'Base de Dados P1'!C52</f>
        <v>0.54085999727249101</v>
      </c>
      <c r="C52" s="46">
        <v>1</v>
      </c>
      <c r="D52" s="158">
        <f>'Base de Dados P1'!D52</f>
        <v>81.910321426951114</v>
      </c>
      <c r="E52" s="158">
        <f>'Base de Dados P1'!E52</f>
        <v>20.723179999999999</v>
      </c>
      <c r="F52" s="158">
        <f>'Base de Dados P1'!F52</f>
        <v>4.2662476259499584</v>
      </c>
      <c r="G52" s="46">
        <f t="shared" si="4"/>
        <v>714337.38812829403</v>
      </c>
      <c r="H52" s="46">
        <f t="shared" si="5"/>
        <v>0.30732232637298784</v>
      </c>
      <c r="I52" s="46">
        <f t="shared" si="6"/>
        <v>0.23353767089950317</v>
      </c>
      <c r="J52" s="50">
        <f>'Base de Dados P1'!H52</f>
        <v>16743927</v>
      </c>
      <c r="L52" s="185" t="s">
        <v>170</v>
      </c>
      <c r="M52" s="185"/>
      <c r="N52" s="185"/>
      <c r="O52" s="185"/>
      <c r="P52" s="185"/>
      <c r="Q52" s="185"/>
      <c r="R52" s="185"/>
      <c r="S52" s="185"/>
      <c r="T52" s="185"/>
    </row>
    <row r="53" spans="1:20" ht="16.5" thickBot="1" x14ac:dyDescent="0.3">
      <c r="A53" s="49" t="s">
        <v>50</v>
      </c>
      <c r="B53" s="158">
        <f>'Base de Dados P1'!C53</f>
        <v>0.79212999343872104</v>
      </c>
      <c r="C53" s="46">
        <v>1</v>
      </c>
      <c r="D53" s="158">
        <f>'Base de Dados P1'!D53</f>
        <v>24.311684081557306</v>
      </c>
      <c r="E53" s="158">
        <f>'Base de Dados P1'!E53</f>
        <v>10.51355</v>
      </c>
      <c r="F53" s="158">
        <f>'Base de Dados P1'!F53</f>
        <v>0.5844780879253193</v>
      </c>
      <c r="G53" s="46">
        <f t="shared" si="4"/>
        <v>51068.018955741347</v>
      </c>
      <c r="H53" s="46">
        <f t="shared" si="5"/>
        <v>1.5454328322060515</v>
      </c>
      <c r="I53" s="46">
        <f t="shared" si="6"/>
        <v>-0.75330283876733051</v>
      </c>
      <c r="J53" s="50">
        <f>'Base de Dados P1'!H53</f>
        <v>8737371</v>
      </c>
      <c r="L53" s="185"/>
      <c r="M53" s="185"/>
      <c r="N53" s="185"/>
      <c r="O53" s="185"/>
      <c r="P53" s="185"/>
      <c r="Q53" s="185"/>
      <c r="R53" s="185"/>
      <c r="S53" s="185"/>
      <c r="T53" s="185"/>
    </row>
    <row r="54" spans="1:20" ht="16.5" thickBot="1" x14ac:dyDescent="0.3">
      <c r="A54" s="49" t="s">
        <v>51</v>
      </c>
      <c r="B54" s="158">
        <f>'Base de Dados P1'!C54</f>
        <v>2.0539999008178702</v>
      </c>
      <c r="C54" s="46">
        <v>1</v>
      </c>
      <c r="D54" s="158">
        <f>'Base de Dados P1'!D54</f>
        <v>23.548008418714712</v>
      </c>
      <c r="E54" s="158">
        <f>'Base de Dados P1'!E54</f>
        <v>16.55659</v>
      </c>
      <c r="F54" s="158">
        <f>'Base de Dados P1'!F54</f>
        <v>15.24037703594152</v>
      </c>
      <c r="G54" s="46">
        <f t="shared" si="4"/>
        <v>891614.1786920419</v>
      </c>
      <c r="H54" s="46">
        <f t="shared" si="5"/>
        <v>1.0887250206969712</v>
      </c>
      <c r="I54" s="46">
        <f t="shared" si="6"/>
        <v>0.96527488012089901</v>
      </c>
      <c r="J54" s="50">
        <f>'Base de Dados P1'!H54</f>
        <v>5850342</v>
      </c>
      <c r="L54" s="130" t="s">
        <v>123</v>
      </c>
      <c r="M54" s="130"/>
      <c r="N54" s="130"/>
      <c r="O54" s="130"/>
      <c r="P54" s="130"/>
      <c r="Q54" s="130"/>
      <c r="R54" s="130"/>
      <c r="S54" s="130"/>
      <c r="T54" s="130"/>
    </row>
    <row r="55" spans="1:20" ht="16.5" thickBot="1" x14ac:dyDescent="0.3">
      <c r="A55" s="49" t="s">
        <v>52</v>
      </c>
      <c r="B55" s="158">
        <f>'Base de Dados P1'!C55</f>
        <v>0.63331997394561801</v>
      </c>
      <c r="C55" s="46">
        <v>1</v>
      </c>
      <c r="D55" s="158">
        <f>'Base de Dados P1'!D55</f>
        <v>20.84600801517869</v>
      </c>
      <c r="E55" s="158">
        <f>'Base de Dados P1'!E55</f>
        <v>9.8575300000000006</v>
      </c>
      <c r="F55" s="158">
        <f>'Base de Dados P1'!F55</f>
        <v>4.827314044859051</v>
      </c>
      <c r="G55" s="46">
        <f t="shared" si="4"/>
        <v>263554.06506502361</v>
      </c>
      <c r="H55" s="46">
        <f t="shared" si="5"/>
        <v>1.5548400267321885</v>
      </c>
      <c r="I55" s="46">
        <f t="shared" si="6"/>
        <v>-0.92152005278657045</v>
      </c>
      <c r="J55" s="50">
        <f>'Base de Dados P1'!H55</f>
        <v>5459642</v>
      </c>
      <c r="L55" s="130"/>
      <c r="M55" s="130"/>
      <c r="N55" s="130"/>
      <c r="O55" s="130"/>
      <c r="P55" s="130"/>
      <c r="Q55" s="130"/>
      <c r="R55" s="130"/>
      <c r="S55" s="130"/>
      <c r="T55" s="130"/>
    </row>
    <row r="56" spans="1:20" ht="16.5" thickBot="1" x14ac:dyDescent="0.3">
      <c r="A56" s="49" t="s">
        <v>53</v>
      </c>
      <c r="B56" s="158">
        <f>'Base de Dados P1'!C56</f>
        <v>2.10624003410339</v>
      </c>
      <c r="C56" s="46">
        <v>1</v>
      </c>
      <c r="D56" s="158">
        <f>'Base de Dados P1'!D56</f>
        <v>20.213249852838871</v>
      </c>
      <c r="E56" s="158">
        <f>'Base de Dados P1'!E56</f>
        <v>12.08019</v>
      </c>
      <c r="F56" s="158">
        <f>'Base de Dados P1'!F56</f>
        <v>1.2218191529610749</v>
      </c>
      <c r="G56" s="46">
        <f t="shared" si="4"/>
        <v>25400.862662185911</v>
      </c>
      <c r="H56" s="46">
        <f t="shared" si="5"/>
        <v>1.5261352698373651</v>
      </c>
      <c r="I56" s="46">
        <f t="shared" si="6"/>
        <v>0.58010476426602486</v>
      </c>
      <c r="J56" s="50">
        <f>'Base de Dados P1'!H56</f>
        <v>2078938</v>
      </c>
      <c r="L56" s="139" t="s">
        <v>124</v>
      </c>
      <c r="M56" s="135"/>
      <c r="N56" s="136"/>
      <c r="O56" s="136"/>
      <c r="P56" s="136"/>
      <c r="Q56" s="136"/>
      <c r="R56" s="136"/>
      <c r="S56" s="136"/>
      <c r="T56" s="136"/>
    </row>
    <row r="57" spans="1:20" ht="16.5" thickBot="1" x14ac:dyDescent="0.3">
      <c r="A57" s="49" t="s">
        <v>54</v>
      </c>
      <c r="B57" s="158">
        <f>'Base de Dados P1'!C57</f>
        <v>0.76160001754760698</v>
      </c>
      <c r="C57" s="46">
        <v>1</v>
      </c>
      <c r="D57" s="158">
        <f>'Base de Dados P1'!D57</f>
        <v>45.66513050216529</v>
      </c>
      <c r="E57" s="158">
        <f>'Base de Dados P1'!E57</f>
        <v>18.044370000000001</v>
      </c>
      <c r="F57" s="158">
        <f>'Base de Dados P1'!F57</f>
        <v>3.0397470850071215</v>
      </c>
      <c r="G57" s="46">
        <f t="shared" si="4"/>
        <v>1802834.1754309102</v>
      </c>
      <c r="H57" s="46">
        <f t="shared" si="5"/>
        <v>0.91666489489185077</v>
      </c>
      <c r="I57" s="46">
        <f t="shared" si="6"/>
        <v>-0.15506487734424379</v>
      </c>
      <c r="J57" s="50">
        <f>'Base de Dados P1'!H57</f>
        <v>59308690</v>
      </c>
      <c r="L57" s="131" t="s">
        <v>125</v>
      </c>
      <c r="M57" s="137">
        <v>0.43418484224321902</v>
      </c>
      <c r="N57" s="136"/>
      <c r="O57" s="136"/>
      <c r="P57" s="136"/>
      <c r="Q57" s="136"/>
      <c r="R57" s="136"/>
      <c r="S57" s="136"/>
      <c r="T57" s="136"/>
    </row>
    <row r="58" spans="1:20" ht="16.5" thickBot="1" x14ac:dyDescent="0.3">
      <c r="A58" s="49" t="s">
        <v>55</v>
      </c>
      <c r="B58" s="158">
        <f>'Base de Dados P1'!C58</f>
        <v>1.3952000141143801</v>
      </c>
      <c r="C58" s="46">
        <v>1</v>
      </c>
      <c r="D58" s="158">
        <f>'Base de Dados P1'!D58</f>
        <v>21.961482217125013</v>
      </c>
      <c r="E58" s="158">
        <f>'Base de Dados P1'!E58</f>
        <v>10.563980000000001</v>
      </c>
      <c r="F58" s="158">
        <f>'Base de Dados P1'!F58</f>
        <v>1.3804782633314971E-2</v>
      </c>
      <c r="G58" s="46">
        <f t="shared" si="4"/>
        <v>6454.3954735889693</v>
      </c>
      <c r="H58" s="46">
        <f t="shared" si="5"/>
        <v>1.583110766278045</v>
      </c>
      <c r="I58" s="46">
        <f t="shared" si="6"/>
        <v>-0.18791075216366493</v>
      </c>
      <c r="J58" s="50">
        <f>'Base de Dados P1'!H58</f>
        <v>46754778</v>
      </c>
      <c r="L58" s="131" t="s">
        <v>126</v>
      </c>
      <c r="M58" s="141">
        <v>0.18851647723376896</v>
      </c>
      <c r="N58" s="136"/>
      <c r="O58" s="136"/>
      <c r="P58" s="136"/>
      <c r="Q58" s="136"/>
      <c r="R58" s="136"/>
      <c r="S58" s="136"/>
      <c r="T58" s="136"/>
    </row>
    <row r="59" spans="1:20" ht="16.5" thickBot="1" x14ac:dyDescent="0.3">
      <c r="A59" s="49" t="s">
        <v>56</v>
      </c>
      <c r="B59" s="158">
        <f>'Base de Dados P1'!C59</f>
        <v>0.15663999319076499</v>
      </c>
      <c r="C59" s="46">
        <v>1</v>
      </c>
      <c r="D59" s="158">
        <f>'Base de Dados P1'!D59</f>
        <v>37.433780799783214</v>
      </c>
      <c r="E59" s="158">
        <f>'Base de Dados P1'!E59</f>
        <v>8.6056600000000003</v>
      </c>
      <c r="F59" s="158">
        <f>'Base de Dados P1'!F59</f>
        <v>8.0159594057522412</v>
      </c>
      <c r="G59" s="46">
        <f t="shared" si="4"/>
        <v>1716477.3472926477</v>
      </c>
      <c r="H59" s="46">
        <f t="shared" si="5"/>
        <v>1.3381674030282171</v>
      </c>
      <c r="I59" s="46">
        <f t="shared" si="6"/>
        <v>-1.1815274098374522</v>
      </c>
      <c r="J59" s="50">
        <f>'Base de Dados P1'!H59</f>
        <v>21413249</v>
      </c>
      <c r="L59" s="131" t="s">
        <v>127</v>
      </c>
      <c r="M59" s="141">
        <v>0.16191046009389254</v>
      </c>
      <c r="N59" s="136"/>
      <c r="O59" s="136"/>
      <c r="P59" s="136"/>
      <c r="Q59" s="136"/>
      <c r="R59" s="136"/>
      <c r="S59" s="136"/>
      <c r="T59" s="136"/>
    </row>
    <row r="60" spans="1:20" ht="16.5" thickBot="1" x14ac:dyDescent="0.3">
      <c r="A60" s="49" t="s">
        <v>57</v>
      </c>
      <c r="B60" s="158">
        <f>'Base de Dados P1'!C60</f>
        <v>3.3919401168823202</v>
      </c>
      <c r="C60" s="46">
        <v>1</v>
      </c>
      <c r="D60" s="158">
        <f>'Base de Dados P1'!D60</f>
        <v>25.283074889864963</v>
      </c>
      <c r="E60" s="158">
        <f>'Base de Dados P1'!E60</f>
        <v>13.34554</v>
      </c>
      <c r="F60" s="158">
        <f>'Base de Dados P1'!F60</f>
        <v>5.9889271333556593</v>
      </c>
      <c r="G60" s="46">
        <f t="shared" si="4"/>
        <v>604837.62185449142</v>
      </c>
      <c r="H60" s="46">
        <f t="shared" si="5"/>
        <v>1.3356558456098098</v>
      </c>
      <c r="I60" s="46">
        <f t="shared" si="6"/>
        <v>2.0562842712725105</v>
      </c>
      <c r="J60" s="50">
        <f>'Base de Dados P1'!H60</f>
        <v>10099265</v>
      </c>
      <c r="L60" s="131" t="s">
        <v>128</v>
      </c>
      <c r="M60" s="137">
        <v>0.93408377088718642</v>
      </c>
      <c r="N60" s="136"/>
      <c r="O60" s="136"/>
      <c r="P60" s="136"/>
      <c r="Q60" s="136"/>
      <c r="R60" s="136"/>
      <c r="S60" s="136"/>
      <c r="T60" s="136"/>
    </row>
    <row r="61" spans="1:20" ht="16.5" thickBot="1" x14ac:dyDescent="0.3">
      <c r="A61" s="49" t="s">
        <v>58</v>
      </c>
      <c r="B61" s="158">
        <f>'Base de Dados P1'!C61</f>
        <v>8.9139997959137005E-2</v>
      </c>
      <c r="C61" s="46">
        <v>1</v>
      </c>
      <c r="D61" s="158">
        <f>'Base de Dados P1'!D61</f>
        <v>59.084970450040728</v>
      </c>
      <c r="E61" s="158">
        <f>'Base de Dados P1'!E61</f>
        <v>15.33145</v>
      </c>
      <c r="F61" s="158">
        <f>'Base de Dados P1'!F61</f>
        <v>6.5000000000047891</v>
      </c>
      <c r="G61" s="46">
        <f t="shared" si="4"/>
        <v>619946.92500045674</v>
      </c>
      <c r="H61" s="46">
        <f t="shared" si="5"/>
        <v>0.79784439921841122</v>
      </c>
      <c r="I61" s="46">
        <f t="shared" si="6"/>
        <v>-0.70870440125927425</v>
      </c>
      <c r="J61" s="50">
        <f>'Base de Dados P1'!H61</f>
        <v>9537645</v>
      </c>
      <c r="L61" s="132" t="s">
        <v>129</v>
      </c>
      <c r="M61" s="138">
        <v>64</v>
      </c>
      <c r="N61" s="136"/>
      <c r="O61" s="136"/>
      <c r="P61" s="136"/>
      <c r="Q61" s="136"/>
      <c r="R61" s="136"/>
      <c r="S61" s="136"/>
      <c r="T61" s="136"/>
    </row>
    <row r="62" spans="1:20" ht="16.5" thickBot="1" x14ac:dyDescent="0.3">
      <c r="A62" s="49" t="s">
        <v>59</v>
      </c>
      <c r="B62" s="158">
        <f>'Base de Dados P1'!C62</f>
        <v>0.51616001129150402</v>
      </c>
      <c r="C62" s="46">
        <v>1</v>
      </c>
      <c r="D62" s="158">
        <f>'Base de Dados P1'!D62</f>
        <v>86.154025919706541</v>
      </c>
      <c r="E62" s="158">
        <f>'Base de Dados P1'!E62</f>
        <v>19.648009999999999</v>
      </c>
      <c r="F62" s="158">
        <f>'Base de Dados P1'!F62</f>
        <v>6.3588860812991754</v>
      </c>
      <c r="G62" s="46">
        <f t="shared" si="4"/>
        <v>3798430.8741749064</v>
      </c>
      <c r="H62" s="46">
        <f t="shared" si="5"/>
        <v>0.26371022941911004</v>
      </c>
      <c r="I62" s="46">
        <f t="shared" si="6"/>
        <v>0.25244978187239397</v>
      </c>
      <c r="J62" s="50">
        <f>'Base de Dados P1'!H62</f>
        <v>59734218</v>
      </c>
      <c r="L62" s="130"/>
      <c r="M62" s="136"/>
      <c r="N62" s="136"/>
      <c r="O62" s="136"/>
      <c r="P62" s="136"/>
      <c r="Q62" s="136"/>
      <c r="R62" s="136"/>
      <c r="S62" s="136"/>
      <c r="T62" s="136"/>
    </row>
    <row r="63" spans="1:20" ht="16.5" thickBot="1" x14ac:dyDescent="0.3">
      <c r="A63" s="49" t="s">
        <v>60</v>
      </c>
      <c r="B63" s="158">
        <f>'Base de Dados P1'!C63</f>
        <v>0.253490000963211</v>
      </c>
      <c r="C63" s="46">
        <v>1</v>
      </c>
      <c r="D63" s="158">
        <f>'Base de Dados P1'!D63</f>
        <v>76.228799727827351</v>
      </c>
      <c r="E63" s="158">
        <f>'Base de Dados P1'!E63</f>
        <v>19.615760000000002</v>
      </c>
      <c r="F63" s="158">
        <f>'Base de Dados P1'!F63</f>
        <v>3.9956787703640231</v>
      </c>
      <c r="G63" s="46">
        <f t="shared" si="4"/>
        <v>330791.21732503129</v>
      </c>
      <c r="H63" s="46">
        <f t="shared" si="5"/>
        <v>0.4321745151817229</v>
      </c>
      <c r="I63" s="46">
        <f t="shared" si="6"/>
        <v>-0.17868451421851189</v>
      </c>
      <c r="J63" s="50">
        <f>'Base de Dados P1'!H63</f>
        <v>8278724</v>
      </c>
      <c r="L63" s="130" t="s">
        <v>130</v>
      </c>
      <c r="M63" s="136"/>
      <c r="N63" s="136"/>
      <c r="O63" s="136"/>
      <c r="P63" s="136"/>
      <c r="Q63" s="136"/>
      <c r="R63" s="136"/>
      <c r="S63" s="136"/>
      <c r="T63" s="136"/>
    </row>
    <row r="64" spans="1:20" ht="16.5" thickBot="1" x14ac:dyDescent="0.3">
      <c r="A64" s="49" t="s">
        <v>61</v>
      </c>
      <c r="B64" s="158">
        <f>'Base de Dados P1'!C64</f>
        <v>0.55794000625610396</v>
      </c>
      <c r="C64" s="46">
        <v>1</v>
      </c>
      <c r="D64" s="158">
        <f>'Base de Dados P1'!D64</f>
        <v>100.33839946629502</v>
      </c>
      <c r="E64" s="158">
        <f>'Base de Dados P1'!E64</f>
        <v>13.517569999999999</v>
      </c>
      <c r="F64" s="158">
        <f>'Base de Dados P1'!F64</f>
        <v>5.1703429744023737</v>
      </c>
      <c r="G64" s="46">
        <f t="shared" si="4"/>
        <v>2364966.9418453979</v>
      </c>
      <c r="H64" s="46">
        <f t="shared" si="5"/>
        <v>0.34429808803806328</v>
      </c>
      <c r="I64" s="46">
        <f t="shared" si="6"/>
        <v>0.21364191821804068</v>
      </c>
      <c r="J64" s="50">
        <f>'Base de Dados P1'!H64</f>
        <v>45741007</v>
      </c>
      <c r="L64" s="133"/>
      <c r="M64" s="135" t="s">
        <v>133</v>
      </c>
      <c r="N64" s="135" t="s">
        <v>117</v>
      </c>
      <c r="O64" s="135" t="s">
        <v>134</v>
      </c>
      <c r="P64" s="135" t="s">
        <v>135</v>
      </c>
      <c r="Q64" s="140" t="s">
        <v>136</v>
      </c>
      <c r="R64" s="136"/>
      <c r="S64" s="136"/>
      <c r="T64" s="136"/>
    </row>
    <row r="65" spans="1:25" ht="16.5" thickBot="1" x14ac:dyDescent="0.3">
      <c r="A65" s="49" t="s">
        <v>62</v>
      </c>
      <c r="B65" s="158">
        <f>'Base de Dados P1'!C65</f>
        <v>1.77447998523712</v>
      </c>
      <c r="C65" s="46">
        <v>1</v>
      </c>
      <c r="D65" s="158">
        <f>'Base de Dados P1'!D65</f>
        <v>26.666562470082294</v>
      </c>
      <c r="E65" s="158">
        <f>'Base de Dados P1'!E65</f>
        <v>12.960369999999999</v>
      </c>
      <c r="F65" s="158">
        <f>'Base de Dados P1'!F65</f>
        <v>1.9113776646944416</v>
      </c>
      <c r="G65" s="46">
        <f t="shared" si="4"/>
        <v>1297558.0517060116</v>
      </c>
      <c r="H65" s="46">
        <f t="shared" si="5"/>
        <v>1.3940754952367587</v>
      </c>
      <c r="I65" s="46">
        <f t="shared" si="6"/>
        <v>0.38040449000036136</v>
      </c>
      <c r="J65" s="50">
        <f>'Base de Dados P1'!H65</f>
        <v>67886011</v>
      </c>
      <c r="L65" s="131" t="s">
        <v>120</v>
      </c>
      <c r="M65" s="137">
        <v>2</v>
      </c>
      <c r="N65" s="137">
        <v>12.364344523090821</v>
      </c>
      <c r="O65" s="137">
        <v>6.1821722615454107</v>
      </c>
      <c r="P65" s="137">
        <v>7.0854828155103773</v>
      </c>
      <c r="Q65" s="137">
        <v>1.7101374948794747E-3</v>
      </c>
      <c r="R65" s="136"/>
      <c r="S65" s="136"/>
      <c r="T65" s="136"/>
    </row>
    <row r="66" spans="1:25" ht="16.5" thickBot="1" x14ac:dyDescent="0.3">
      <c r="A66" s="52" t="s">
        <v>63</v>
      </c>
      <c r="B66" s="158">
        <f>'Base de Dados P1'!C66</f>
        <v>2.73827004432678</v>
      </c>
      <c r="C66" s="46">
        <v>1</v>
      </c>
      <c r="D66" s="158">
        <f>'Base de Dados P1'!D66</f>
        <v>29.568269020866804</v>
      </c>
      <c r="E66" s="158">
        <f>'Base de Dados P1'!E66</f>
        <v>13.037570000000001</v>
      </c>
      <c r="F66" s="158">
        <f>'Base de Dados P1'!F66</f>
        <v>2.5319203804648396</v>
      </c>
      <c r="G66" s="46">
        <f t="shared" si="4"/>
        <v>8380723.5805479046</v>
      </c>
      <c r="H66" s="46">
        <f t="shared" si="5"/>
        <v>1.3431002163902903</v>
      </c>
      <c r="I66" s="46">
        <f t="shared" si="6"/>
        <v>1.3951698279364897</v>
      </c>
      <c r="J66" s="53">
        <f>'Base de Dados P1'!H66</f>
        <v>331002651</v>
      </c>
      <c r="L66" s="131" t="s">
        <v>131</v>
      </c>
      <c r="M66" s="137">
        <v>61</v>
      </c>
      <c r="N66" s="137">
        <v>53.223261953124378</v>
      </c>
      <c r="O66" s="137">
        <v>0.87251249103482587</v>
      </c>
      <c r="P66" s="137"/>
      <c r="Q66" s="137"/>
      <c r="R66" s="136"/>
      <c r="S66" s="136"/>
      <c r="T66" s="136"/>
    </row>
    <row r="67" spans="1:25" ht="15.75" thickBot="1" x14ac:dyDescent="0.3">
      <c r="L67" s="132" t="s">
        <v>122</v>
      </c>
      <c r="M67" s="138">
        <v>63</v>
      </c>
      <c r="N67" s="138">
        <v>65.5876064762152</v>
      </c>
      <c r="O67" s="138"/>
      <c r="P67" s="138"/>
      <c r="Q67" s="138"/>
      <c r="R67" s="136"/>
      <c r="S67" s="136"/>
      <c r="T67" s="136"/>
    </row>
    <row r="68" spans="1:25" ht="15.75" thickBot="1" x14ac:dyDescent="0.3">
      <c r="L68" s="130"/>
      <c r="M68" s="136"/>
      <c r="N68" s="136"/>
      <c r="O68" s="136"/>
      <c r="P68" s="136"/>
      <c r="Q68" s="136"/>
      <c r="R68" s="136"/>
      <c r="S68" s="136"/>
      <c r="T68" s="136"/>
    </row>
    <row r="69" spans="1:25" x14ac:dyDescent="0.25">
      <c r="A69" s="85" t="s">
        <v>123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133"/>
      <c r="M69" s="140" t="s">
        <v>137</v>
      </c>
      <c r="N69" s="140" t="s">
        <v>128</v>
      </c>
      <c r="O69" s="140" t="s">
        <v>138</v>
      </c>
      <c r="P69" s="140" t="s">
        <v>139</v>
      </c>
      <c r="Q69" s="140" t="s">
        <v>140</v>
      </c>
      <c r="R69" s="140" t="s">
        <v>141</v>
      </c>
      <c r="S69" s="140" t="s">
        <v>142</v>
      </c>
      <c r="T69" s="140" t="s">
        <v>143</v>
      </c>
    </row>
    <row r="70" spans="1:25" ht="15.75" thickBot="1" x14ac:dyDescent="0.3">
      <c r="A70" s="85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131" t="s">
        <v>132</v>
      </c>
      <c r="M70" s="137">
        <v>2.3339159612180382</v>
      </c>
      <c r="N70" s="137">
        <v>0.42433302000505907</v>
      </c>
      <c r="O70" s="137">
        <v>5.5001987853554555</v>
      </c>
      <c r="P70" s="137">
        <v>7.9326417969406956E-7</v>
      </c>
      <c r="Q70" s="137">
        <v>1.4854096465237923</v>
      </c>
      <c r="R70" s="137">
        <v>3.182422275912284</v>
      </c>
      <c r="S70" s="137">
        <v>1.4854096465237923</v>
      </c>
      <c r="T70" s="137">
        <v>3.182422275912284</v>
      </c>
    </row>
    <row r="71" spans="1:25" x14ac:dyDescent="0.25">
      <c r="A71" s="86" t="s">
        <v>124</v>
      </c>
      <c r="B71" s="82"/>
      <c r="C71" s="43"/>
      <c r="D71" s="43"/>
      <c r="E71" s="43"/>
      <c r="F71" s="43"/>
      <c r="G71" s="43"/>
      <c r="H71" s="43"/>
      <c r="I71" s="43"/>
      <c r="J71" s="43"/>
      <c r="K71" s="43"/>
      <c r="L71" s="131" t="s">
        <v>67</v>
      </c>
      <c r="M71" s="137">
        <v>-1.3004603683020515E-2</v>
      </c>
      <c r="N71" s="137">
        <v>6.649414358818044E-3</v>
      </c>
      <c r="O71" s="137">
        <v>-1.9557517371096915</v>
      </c>
      <c r="P71" s="137">
        <v>5.507863773682535E-2</v>
      </c>
      <c r="Q71" s="137">
        <v>-2.6300929461317086E-2</v>
      </c>
      <c r="R71" s="137">
        <v>2.9172209527605561E-4</v>
      </c>
      <c r="S71" s="137">
        <v>-2.6300929461317086E-2</v>
      </c>
      <c r="T71" s="137">
        <v>2.9172209527605561E-4</v>
      </c>
    </row>
    <row r="72" spans="1:25" ht="15.75" thickBot="1" x14ac:dyDescent="0.3">
      <c r="A72" s="87" t="s">
        <v>125</v>
      </c>
      <c r="B72" s="83">
        <v>0.43826015109340544</v>
      </c>
      <c r="C72" s="43"/>
      <c r="D72" s="43"/>
      <c r="E72" s="43"/>
      <c r="F72" s="43"/>
      <c r="G72" s="43"/>
      <c r="H72" s="43"/>
      <c r="I72" s="43"/>
      <c r="J72" s="43"/>
      <c r="K72" s="43"/>
      <c r="L72" s="131" t="s">
        <v>68</v>
      </c>
      <c r="M72" s="134">
        <v>-4.8099617491976734E-2</v>
      </c>
      <c r="N72" s="134">
        <v>3.5570588671050687E-2</v>
      </c>
      <c r="O72" s="134">
        <v>-1.3522300104952401</v>
      </c>
      <c r="P72" s="134">
        <v>0.18129387689961521</v>
      </c>
      <c r="Q72" s="134">
        <v>-0.11922740553076352</v>
      </c>
      <c r="R72" s="134">
        <v>2.3028170546810056E-2</v>
      </c>
      <c r="S72" s="134">
        <v>-0.11922740553076352</v>
      </c>
      <c r="T72" s="134">
        <v>2.3028170546810056E-2</v>
      </c>
    </row>
    <row r="73" spans="1:25" ht="15.75" thickBot="1" x14ac:dyDescent="0.3">
      <c r="A73" s="87" t="s">
        <v>126</v>
      </c>
      <c r="B73" s="83">
        <v>0.19207196003641458</v>
      </c>
      <c r="C73" s="43"/>
      <c r="D73" s="43"/>
      <c r="E73" s="43"/>
      <c r="F73" s="43"/>
      <c r="G73" s="43"/>
      <c r="H73" s="43"/>
      <c r="I73" s="43"/>
      <c r="J73" s="43"/>
      <c r="K73" s="43"/>
      <c r="L73" s="187" t="s">
        <v>171</v>
      </c>
      <c r="M73" s="188"/>
      <c r="N73" s="188"/>
      <c r="O73" s="188"/>
      <c r="P73" s="188"/>
      <c r="Q73" s="189"/>
      <c r="R73"/>
      <c r="S73"/>
      <c r="T73"/>
    </row>
    <row r="74" spans="1:25" x14ac:dyDescent="0.25">
      <c r="A74" s="87" t="s">
        <v>127</v>
      </c>
      <c r="B74" s="83">
        <v>0.15167555803823529</v>
      </c>
      <c r="C74" s="43"/>
      <c r="D74" s="43"/>
      <c r="E74" s="43"/>
      <c r="F74" s="43"/>
      <c r="G74" s="43"/>
      <c r="H74" s="43"/>
      <c r="I74" s="43"/>
      <c r="J74" s="43"/>
      <c r="K74" s="43"/>
      <c r="L74" s="105" t="s">
        <v>115</v>
      </c>
      <c r="M74" s="106" t="s">
        <v>116</v>
      </c>
      <c r="N74" s="106" t="s">
        <v>117</v>
      </c>
      <c r="O74" s="106" t="s">
        <v>118</v>
      </c>
      <c r="P74" s="106" t="s">
        <v>119</v>
      </c>
      <c r="Q74" s="142" t="s">
        <v>168</v>
      </c>
      <c r="R74"/>
      <c r="S74"/>
      <c r="T74"/>
    </row>
    <row r="75" spans="1:25" ht="15" customHeight="1" x14ac:dyDescent="0.25">
      <c r="A75" s="87" t="s">
        <v>128</v>
      </c>
      <c r="B75" s="83">
        <v>0.93977006359917203</v>
      </c>
      <c r="C75" s="43"/>
      <c r="D75" s="43"/>
      <c r="E75" s="43"/>
      <c r="F75" s="43"/>
      <c r="G75" s="43"/>
      <c r="H75" s="43"/>
      <c r="I75" s="43"/>
      <c r="J75" s="43"/>
      <c r="K75" s="43"/>
      <c r="L75" s="143" t="s">
        <v>165</v>
      </c>
      <c r="M75" s="68">
        <v>2</v>
      </c>
      <c r="N75" s="145">
        <f>N65</f>
        <v>12.364344523090821</v>
      </c>
      <c r="O75" s="145">
        <f>N75/M75</f>
        <v>6.1821722615454107</v>
      </c>
      <c r="P75" s="145">
        <f>O76/O78</f>
        <v>0.26404451585590966</v>
      </c>
      <c r="Q75" s="147">
        <f>_xlfn.F.INV(,M76,M78)</f>
        <v>0</v>
      </c>
      <c r="R75"/>
      <c r="S75" s="186" t="s">
        <v>169</v>
      </c>
      <c r="T75" s="186"/>
      <c r="U75" s="186"/>
      <c r="V75" s="186"/>
      <c r="W75" s="150"/>
      <c r="X75" s="150"/>
      <c r="Y75" s="150"/>
    </row>
    <row r="76" spans="1:25" ht="15.75" customHeight="1" thickBot="1" x14ac:dyDescent="0.3">
      <c r="A76" s="88" t="s">
        <v>129</v>
      </c>
      <c r="B76" s="84">
        <v>64</v>
      </c>
      <c r="C76" s="43"/>
      <c r="D76" s="43"/>
      <c r="E76" s="43"/>
      <c r="F76" s="43"/>
      <c r="G76" s="43"/>
      <c r="H76" s="43"/>
      <c r="I76" s="43"/>
      <c r="J76" s="43"/>
      <c r="K76" s="43"/>
      <c r="L76" s="143" t="s">
        <v>166</v>
      </c>
      <c r="M76" s="68">
        <v>1</v>
      </c>
      <c r="N76" s="145">
        <f>N77-N75</f>
        <v>0.23319560689272123</v>
      </c>
      <c r="O76" s="145">
        <f t="shared" ref="O76:O78" si="7">N76/M76</f>
        <v>0.23319560689272123</v>
      </c>
      <c r="P76" s="96"/>
      <c r="Q76" s="94"/>
      <c r="S76" s="186"/>
      <c r="T76" s="186"/>
      <c r="U76" s="186"/>
      <c r="V76" s="186"/>
      <c r="W76" s="150"/>
      <c r="X76" s="150"/>
      <c r="Y76" s="150"/>
    </row>
    <row r="77" spans="1:25" ht="15" customHeight="1" x14ac:dyDescent="0.25">
      <c r="A77" s="85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143" t="s">
        <v>167</v>
      </c>
      <c r="M77" s="68">
        <v>3</v>
      </c>
      <c r="N77" s="145">
        <f>Q25</f>
        <v>12.597540129983543</v>
      </c>
      <c r="O77" s="145">
        <f t="shared" si="7"/>
        <v>4.1991800433278472</v>
      </c>
      <c r="P77" s="148"/>
      <c r="Q77" s="94"/>
      <c r="S77" s="186"/>
      <c r="T77" s="186"/>
      <c r="U77" s="186"/>
      <c r="V77" s="186"/>
      <c r="W77" s="150"/>
      <c r="X77" s="150"/>
      <c r="Y77" s="150"/>
    </row>
    <row r="78" spans="1:25" ht="15.75" thickBot="1" x14ac:dyDescent="0.3">
      <c r="A78" s="85" t="s">
        <v>130</v>
      </c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143" t="s">
        <v>121</v>
      </c>
      <c r="M78" s="68">
        <f>M61-(M77+1)</f>
        <v>60</v>
      </c>
      <c r="N78" s="145">
        <f>Q26</f>
        <v>52.990066346231671</v>
      </c>
      <c r="O78" s="145">
        <f t="shared" si="7"/>
        <v>0.88316777243719458</v>
      </c>
      <c r="P78" s="148"/>
      <c r="Q78" s="94"/>
    </row>
    <row r="79" spans="1:25" ht="15.75" thickBot="1" x14ac:dyDescent="0.3">
      <c r="A79" s="86"/>
      <c r="B79" s="82" t="s">
        <v>133</v>
      </c>
      <c r="C79" s="82" t="s">
        <v>117</v>
      </c>
      <c r="D79" s="82" t="s">
        <v>134</v>
      </c>
      <c r="E79" s="82" t="s">
        <v>135</v>
      </c>
      <c r="F79" s="82" t="s">
        <v>136</v>
      </c>
      <c r="G79" s="82"/>
      <c r="H79" s="82"/>
      <c r="I79" s="82"/>
      <c r="J79" s="43"/>
      <c r="K79" s="43"/>
      <c r="L79" s="144" t="s">
        <v>122</v>
      </c>
      <c r="M79" s="73">
        <f>SUM(M77:M78)</f>
        <v>63</v>
      </c>
      <c r="N79" s="146">
        <f>SUM(N77:N78)</f>
        <v>65.587606476215214</v>
      </c>
      <c r="O79" s="146"/>
      <c r="P79" s="149"/>
      <c r="Q79" s="125"/>
    </row>
    <row r="80" spans="1:25" x14ac:dyDescent="0.25">
      <c r="A80" s="87" t="s">
        <v>120</v>
      </c>
      <c r="B80" s="83">
        <v>3</v>
      </c>
      <c r="C80" s="83">
        <v>12.597540129983692</v>
      </c>
      <c r="D80" s="83">
        <v>4.199180043327897</v>
      </c>
      <c r="E80" s="83">
        <v>4.754679885725257</v>
      </c>
      <c r="F80" s="83">
        <v>4.8557778128243065E-3</v>
      </c>
      <c r="G80" s="83"/>
      <c r="H80" s="83"/>
      <c r="I80" s="83"/>
      <c r="J80" s="43"/>
      <c r="K80" s="43"/>
      <c r="L80" s="43"/>
    </row>
    <row r="81" spans="1:72" x14ac:dyDescent="0.25">
      <c r="A81" s="87" t="s">
        <v>131</v>
      </c>
      <c r="B81" s="83">
        <v>60</v>
      </c>
      <c r="C81" s="83">
        <v>52.990066346231508</v>
      </c>
      <c r="D81" s="83">
        <v>0.8831677724371918</v>
      </c>
      <c r="E81" s="83"/>
      <c r="F81" s="83"/>
      <c r="G81" s="83"/>
      <c r="H81" s="83"/>
      <c r="I81" s="83"/>
      <c r="J81" s="43"/>
      <c r="K81" s="43"/>
      <c r="L81" s="43"/>
    </row>
    <row r="82" spans="1:72" ht="15.75" thickBot="1" x14ac:dyDescent="0.3">
      <c r="A82" s="88" t="s">
        <v>122</v>
      </c>
      <c r="B82" s="84">
        <v>63</v>
      </c>
      <c r="C82" s="84">
        <v>65.5876064762152</v>
      </c>
      <c r="D82" s="84"/>
      <c r="E82" s="84"/>
      <c r="F82" s="84"/>
      <c r="G82" s="84"/>
      <c r="H82" s="84"/>
      <c r="I82" s="84"/>
      <c r="J82" s="43"/>
      <c r="K82" s="43"/>
      <c r="L82" s="43"/>
    </row>
    <row r="83" spans="1:72" ht="15.75" thickBot="1" x14ac:dyDescent="0.3">
      <c r="A83" s="85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</row>
    <row r="84" spans="1:72" x14ac:dyDescent="0.25">
      <c r="A84" s="86"/>
      <c r="B84" s="82" t="s">
        <v>137</v>
      </c>
      <c r="C84" s="82" t="s">
        <v>128</v>
      </c>
      <c r="D84" s="82" t="s">
        <v>138</v>
      </c>
      <c r="E84" s="82" t="s">
        <v>139</v>
      </c>
      <c r="F84" s="82" t="s">
        <v>140</v>
      </c>
      <c r="G84" s="82" t="s">
        <v>141</v>
      </c>
      <c r="H84" s="82" t="s">
        <v>142</v>
      </c>
      <c r="I84" s="82" t="s">
        <v>143</v>
      </c>
    </row>
    <row r="85" spans="1:72" x14ac:dyDescent="0.25">
      <c r="A85" s="87" t="s">
        <v>132</v>
      </c>
      <c r="B85" s="83">
        <v>2.3076780004489952</v>
      </c>
      <c r="C85" s="83">
        <v>0.42995891800495306</v>
      </c>
      <c r="D85" s="83">
        <v>5.3672058045843603</v>
      </c>
      <c r="E85" s="83">
        <v>1.3586426658385885E-6</v>
      </c>
      <c r="F85" s="83">
        <v>1.4476321132080794</v>
      </c>
      <c r="G85" s="83">
        <v>3.167723887689911</v>
      </c>
      <c r="H85" s="83">
        <v>1.4476321132080794</v>
      </c>
      <c r="I85" s="83">
        <v>3.167723887689911</v>
      </c>
    </row>
    <row r="86" spans="1:72" x14ac:dyDescent="0.25">
      <c r="A86" s="87" t="s">
        <v>67</v>
      </c>
      <c r="B86" s="83">
        <v>-1.3277651311563081E-2</v>
      </c>
      <c r="C86" s="83">
        <v>6.7109632050921381E-3</v>
      </c>
      <c r="D86" s="83">
        <v>-1.9785015810380657</v>
      </c>
      <c r="E86" s="83">
        <v>5.2468398231764767E-2</v>
      </c>
      <c r="F86" s="83">
        <v>-2.6701576394326729E-2</v>
      </c>
      <c r="G86" s="83">
        <v>1.4627377120056753E-4</v>
      </c>
      <c r="H86" s="83">
        <v>-2.6701576394326729E-2</v>
      </c>
      <c r="I86" s="83">
        <v>1.4627377120056753E-4</v>
      </c>
    </row>
    <row r="87" spans="1:72" x14ac:dyDescent="0.25">
      <c r="A87" s="87" t="s">
        <v>68</v>
      </c>
      <c r="B87" s="83">
        <v>-4.0965978469566969E-2</v>
      </c>
      <c r="C87" s="83">
        <v>3.8385499558930614E-2</v>
      </c>
      <c r="D87" s="83">
        <v>-1.0672253569782184</v>
      </c>
      <c r="E87" s="83">
        <v>0.290145479048667</v>
      </c>
      <c r="F87" s="83">
        <v>-0.11774840963422524</v>
      </c>
      <c r="G87" s="83">
        <v>3.5816452695091303E-2</v>
      </c>
      <c r="H87" s="83">
        <v>-0.11774840963422524</v>
      </c>
      <c r="I87" s="83">
        <v>3.5816452695091303E-2</v>
      </c>
    </row>
    <row r="88" spans="1:72" ht="15.75" thickBot="1" x14ac:dyDescent="0.3">
      <c r="A88" s="88" t="s">
        <v>64</v>
      </c>
      <c r="B88" s="84">
        <v>-1.4962479266710776E-2</v>
      </c>
      <c r="C88" s="84">
        <v>2.911823091365533E-2</v>
      </c>
      <c r="D88" s="84">
        <v>-0.51385262075430371</v>
      </c>
      <c r="E88" s="84">
        <v>0.60924234232528995</v>
      </c>
      <c r="F88" s="84">
        <v>-7.3207613144203848E-2</v>
      </c>
      <c r="G88" s="84">
        <v>4.3282654610782303E-2</v>
      </c>
      <c r="H88" s="84">
        <v>-7.3207613144203848E-2</v>
      </c>
      <c r="I88" s="84">
        <v>4.3282654610782303E-2</v>
      </c>
    </row>
    <row r="89" spans="1:72" ht="21.75" customHeight="1" thickBot="1" x14ac:dyDescent="0.3">
      <c r="A89" s="85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</row>
    <row r="90" spans="1:72" ht="16.5" thickBot="1" x14ac:dyDescent="0.3">
      <c r="A90" s="44" t="s">
        <v>69</v>
      </c>
      <c r="B90" s="44" t="s">
        <v>70</v>
      </c>
      <c r="C90" s="44"/>
      <c r="D90" s="44" t="s">
        <v>77</v>
      </c>
      <c r="E90" s="44" t="s">
        <v>78</v>
      </c>
      <c r="F90" s="44" t="s">
        <v>79</v>
      </c>
      <c r="G90" s="44" t="s">
        <v>174</v>
      </c>
    </row>
    <row r="91" spans="1:72" ht="60.75" thickBot="1" x14ac:dyDescent="0.3">
      <c r="A91" s="44"/>
      <c r="B91" s="54" t="s">
        <v>65</v>
      </c>
      <c r="C91" s="54"/>
      <c r="D91" s="54" t="s">
        <v>67</v>
      </c>
      <c r="E91" s="54" t="s">
        <v>68</v>
      </c>
      <c r="F91" s="54" t="s">
        <v>64</v>
      </c>
      <c r="G91" s="54" t="s">
        <v>172</v>
      </c>
      <c r="I91" s="89" t="s">
        <v>97</v>
      </c>
    </row>
    <row r="92" spans="1:72" ht="16.5" thickBot="1" x14ac:dyDescent="0.3">
      <c r="A92" s="45" t="s">
        <v>0</v>
      </c>
      <c r="B92" s="159">
        <v>0.61744999885559104</v>
      </c>
      <c r="C92" s="46">
        <v>1</v>
      </c>
      <c r="D92" s="159">
        <v>38.566711779316776</v>
      </c>
      <c r="E92" s="159">
        <v>15.570460000000001</v>
      </c>
      <c r="F92" s="159">
        <v>9.4515783314663508</v>
      </c>
      <c r="G92" s="46">
        <v>4271713.9821225032</v>
      </c>
      <c r="I92" s="48">
        <v>1</v>
      </c>
      <c r="J92" s="48">
        <v>1</v>
      </c>
      <c r="K92" s="48">
        <v>1</v>
      </c>
      <c r="L92" s="48">
        <v>1</v>
      </c>
      <c r="M92" s="48">
        <v>1</v>
      </c>
      <c r="N92" s="48">
        <v>1</v>
      </c>
      <c r="O92" s="48">
        <v>1</v>
      </c>
      <c r="P92" s="48">
        <v>1</v>
      </c>
      <c r="Q92" s="48">
        <v>1</v>
      </c>
      <c r="R92" s="48">
        <v>1</v>
      </c>
      <c r="S92" s="48">
        <v>1</v>
      </c>
      <c r="T92" s="48">
        <v>1</v>
      </c>
      <c r="U92" s="48">
        <v>1</v>
      </c>
      <c r="V92" s="48">
        <v>1</v>
      </c>
      <c r="W92" s="48">
        <v>1</v>
      </c>
      <c r="X92" s="48">
        <v>1</v>
      </c>
      <c r="Y92" s="48">
        <v>1</v>
      </c>
      <c r="Z92" s="48">
        <v>1</v>
      </c>
      <c r="AA92" s="48">
        <v>1</v>
      </c>
      <c r="AB92" s="48">
        <v>1</v>
      </c>
      <c r="AC92" s="48">
        <v>1</v>
      </c>
      <c r="AD92" s="48">
        <v>1</v>
      </c>
      <c r="AE92" s="48">
        <v>1</v>
      </c>
      <c r="AF92" s="48">
        <v>1</v>
      </c>
      <c r="AG92" s="48">
        <v>1</v>
      </c>
      <c r="AH92" s="48">
        <v>1</v>
      </c>
      <c r="AI92" s="48">
        <v>1</v>
      </c>
      <c r="AJ92" s="48">
        <v>1</v>
      </c>
      <c r="AK92" s="48">
        <v>1</v>
      </c>
      <c r="AL92" s="48">
        <v>1</v>
      </c>
      <c r="AM92" s="48">
        <v>1</v>
      </c>
      <c r="AN92" s="48">
        <v>1</v>
      </c>
      <c r="AO92" s="48">
        <v>1</v>
      </c>
      <c r="AP92" s="48">
        <v>1</v>
      </c>
      <c r="AQ92" s="48">
        <v>1</v>
      </c>
      <c r="AR92" s="48">
        <v>1</v>
      </c>
      <c r="AS92" s="48">
        <v>1</v>
      </c>
      <c r="AT92" s="48">
        <v>1</v>
      </c>
      <c r="AU92" s="48">
        <v>1</v>
      </c>
      <c r="AV92" s="48">
        <v>1</v>
      </c>
      <c r="AW92" s="48">
        <v>1</v>
      </c>
      <c r="AX92" s="48">
        <v>1</v>
      </c>
      <c r="AY92" s="48">
        <v>1</v>
      </c>
      <c r="AZ92" s="48">
        <v>1</v>
      </c>
      <c r="BA92" s="48">
        <v>1</v>
      </c>
      <c r="BB92" s="48">
        <v>1</v>
      </c>
      <c r="BC92" s="48">
        <v>1</v>
      </c>
      <c r="BD92" s="48">
        <v>1</v>
      </c>
      <c r="BE92" s="48">
        <v>1</v>
      </c>
      <c r="BF92" s="48">
        <v>1</v>
      </c>
      <c r="BG92" s="48">
        <v>1</v>
      </c>
      <c r="BH92" s="48">
        <v>1</v>
      </c>
      <c r="BI92" s="48">
        <v>1</v>
      </c>
      <c r="BJ92" s="48">
        <v>1</v>
      </c>
      <c r="BK92" s="48">
        <v>1</v>
      </c>
      <c r="BL92" s="48">
        <v>1</v>
      </c>
      <c r="BM92" s="48">
        <v>1</v>
      </c>
      <c r="BN92" s="48">
        <v>1</v>
      </c>
      <c r="BO92" s="48">
        <v>1</v>
      </c>
      <c r="BP92" s="48">
        <v>1</v>
      </c>
      <c r="BQ92" s="48">
        <v>1</v>
      </c>
      <c r="BR92" s="48">
        <v>1</v>
      </c>
      <c r="BS92" s="48">
        <v>1</v>
      </c>
      <c r="BT92" s="48">
        <v>1</v>
      </c>
    </row>
    <row r="93" spans="1:72" ht="16.5" thickBot="1" x14ac:dyDescent="0.3">
      <c r="A93" s="49" t="s">
        <v>1</v>
      </c>
      <c r="B93" s="159">
        <v>0.241390004754066</v>
      </c>
      <c r="C93" s="46">
        <v>1</v>
      </c>
      <c r="D93" s="159">
        <v>29.758868775312614</v>
      </c>
      <c r="E93" s="159">
        <v>12.400510000000001</v>
      </c>
      <c r="F93" s="159">
        <v>2.1999999991457031</v>
      </c>
      <c r="G93" s="46">
        <v>65191.3459746851</v>
      </c>
      <c r="I93" s="48">
        <v>38.566711779316776</v>
      </c>
      <c r="J93" s="48">
        <v>29.758868775312614</v>
      </c>
      <c r="K93" s="48">
        <v>28.01903301305062</v>
      </c>
      <c r="L93" s="48">
        <v>21.881817622344979</v>
      </c>
      <c r="M93" s="48">
        <v>31.791289790537842</v>
      </c>
      <c r="N93" s="48">
        <v>20.852178591786398</v>
      </c>
      <c r="O93" s="48">
        <v>25.395925900409388</v>
      </c>
      <c r="P93" s="48">
        <v>37.709678185702835</v>
      </c>
      <c r="Q93" s="48">
        <v>19.485786470116324</v>
      </c>
      <c r="R93" s="48">
        <v>82.053945056425576</v>
      </c>
      <c r="S93" s="48">
        <v>23.74405539363396</v>
      </c>
      <c r="T93" s="48">
        <v>32.237807714903774</v>
      </c>
      <c r="U93" s="48">
        <v>43.82746238643881</v>
      </c>
      <c r="V93" s="48">
        <v>22.775894382471584</v>
      </c>
      <c r="W93" s="48">
        <v>25.145562973857004</v>
      </c>
      <c r="X93" s="48">
        <v>20.151363637780804</v>
      </c>
      <c r="Y93" s="48">
        <v>27.475772833313616</v>
      </c>
      <c r="Z93" s="48">
        <v>52.564166062486308</v>
      </c>
      <c r="AA93" s="48">
        <v>22.944788159347944</v>
      </c>
      <c r="AB93" s="48">
        <v>85.004237027036027</v>
      </c>
      <c r="AC93" s="48">
        <v>24.874028911397382</v>
      </c>
      <c r="AD93" s="48">
        <v>28.303837482940651</v>
      </c>
      <c r="AE93" s="48">
        <v>20.386593257709869</v>
      </c>
      <c r="AF93" s="48">
        <v>67.750719621685832</v>
      </c>
      <c r="AG93" s="48">
        <v>76.807399855746468</v>
      </c>
      <c r="AH93" s="48">
        <v>16.200772379695994</v>
      </c>
      <c r="AI93" s="48">
        <v>21.336266525980655</v>
      </c>
      <c r="AJ93" s="48">
        <v>46.591041531705308</v>
      </c>
      <c r="AK93" s="48">
        <v>31.700321689171012</v>
      </c>
      <c r="AL93" s="48">
        <v>43.702014433578533</v>
      </c>
      <c r="AM93" s="48">
        <v>21.380458591778407</v>
      </c>
      <c r="AN93" s="48">
        <v>20.841026924106647</v>
      </c>
      <c r="AO93" s="48">
        <v>77.647765878876569</v>
      </c>
      <c r="AP93" s="48">
        <v>45.855310265538492</v>
      </c>
      <c r="AQ93" s="48">
        <v>20.978530825946716</v>
      </c>
      <c r="AR93" s="48">
        <v>15.888046941425996</v>
      </c>
      <c r="AS93" s="48">
        <v>41.026654057019734</v>
      </c>
      <c r="AT93" s="48">
        <v>93.034395415081789</v>
      </c>
      <c r="AU93" s="48">
        <v>22.35562152645932</v>
      </c>
      <c r="AV93" s="48">
        <v>46.964942568096397</v>
      </c>
      <c r="AW93" s="48">
        <v>23.097969840114018</v>
      </c>
      <c r="AX93" s="48">
        <v>38.931399323039599</v>
      </c>
      <c r="AY93" s="48">
        <v>64.003760570758601</v>
      </c>
      <c r="AZ93" s="48">
        <v>64.012022127870878</v>
      </c>
      <c r="BA93" s="48">
        <v>26.101342986602088</v>
      </c>
      <c r="BB93" s="48">
        <v>28.409666470846908</v>
      </c>
      <c r="BC93" s="48">
        <v>21.002491759149297</v>
      </c>
      <c r="BD93" s="48">
        <v>22.665676290055632</v>
      </c>
      <c r="BE93" s="48">
        <v>21.402772707478693</v>
      </c>
      <c r="BF93" s="48">
        <v>81.910321426951114</v>
      </c>
      <c r="BG93" s="48">
        <v>24.311684081557306</v>
      </c>
      <c r="BH93" s="48">
        <v>23.548008418714712</v>
      </c>
      <c r="BI93" s="48">
        <v>20.84600801517869</v>
      </c>
      <c r="BJ93" s="48">
        <v>20.213249852838871</v>
      </c>
      <c r="BK93" s="48">
        <v>45.66513050216529</v>
      </c>
      <c r="BL93" s="48">
        <v>21.961482217125013</v>
      </c>
      <c r="BM93" s="48">
        <v>37.433780799783214</v>
      </c>
      <c r="BN93" s="48">
        <v>25.283074889864963</v>
      </c>
      <c r="BO93" s="48">
        <v>59.084970450040728</v>
      </c>
      <c r="BP93" s="48">
        <v>86.154025919706541</v>
      </c>
      <c r="BQ93" s="48">
        <v>76.228799727827351</v>
      </c>
      <c r="BR93" s="48">
        <v>100.33839946629502</v>
      </c>
      <c r="BS93" s="48">
        <v>26.666562470082294</v>
      </c>
      <c r="BT93" s="48">
        <v>29.568269020866804</v>
      </c>
    </row>
    <row r="94" spans="1:72" ht="16.5" thickBot="1" x14ac:dyDescent="0.3">
      <c r="A94" s="49" t="s">
        <v>2</v>
      </c>
      <c r="B94" s="159">
        <v>2.3856201171875</v>
      </c>
      <c r="C94" s="46">
        <v>1</v>
      </c>
      <c r="D94" s="159">
        <v>28.01903301305062</v>
      </c>
      <c r="E94" s="159">
        <v>14.3276</v>
      </c>
      <c r="F94" s="159">
        <v>1.9623661011905114</v>
      </c>
      <c r="G94" s="46">
        <v>500401.079458903</v>
      </c>
      <c r="I94" s="48">
        <v>15.570460000000001</v>
      </c>
      <c r="J94" s="48">
        <v>12.400510000000001</v>
      </c>
      <c r="K94" s="48">
        <v>14.3276</v>
      </c>
      <c r="L94" s="48">
        <v>10.858169999999999</v>
      </c>
      <c r="M94" s="48">
        <v>8.7791099999999993</v>
      </c>
      <c r="N94" s="48">
        <v>12.86463</v>
      </c>
      <c r="O94" s="48">
        <v>12.223739999999999</v>
      </c>
      <c r="P94" s="48">
        <v>14.559889999999999</v>
      </c>
      <c r="Q94" s="48">
        <v>11.16342</v>
      </c>
      <c r="R94" s="48">
        <v>16.588100000000001</v>
      </c>
      <c r="S94" s="48">
        <v>12.387890000000001</v>
      </c>
      <c r="T94" s="48">
        <v>17.514019999999999</v>
      </c>
      <c r="U94" s="48">
        <v>16.418579999999999</v>
      </c>
      <c r="V94" s="48">
        <v>9.0825899999999997</v>
      </c>
      <c r="W94" s="48">
        <v>15.68234</v>
      </c>
      <c r="X94" s="48">
        <v>9.7125000000000004</v>
      </c>
      <c r="Y94" s="48">
        <v>15.103339999999999</v>
      </c>
      <c r="Z94" s="48">
        <v>16.16422</v>
      </c>
      <c r="AA94" s="48">
        <v>13.681800000000001</v>
      </c>
      <c r="AB94" s="48">
        <v>22.035820000000001</v>
      </c>
      <c r="AC94" s="48">
        <v>11.956110000000001</v>
      </c>
      <c r="AD94" s="48">
        <v>10.069129999999999</v>
      </c>
      <c r="AE94" s="48">
        <v>10.616580000000001</v>
      </c>
      <c r="AF94" s="48">
        <v>21.244219999999999</v>
      </c>
      <c r="AG94" s="48">
        <v>19.29692</v>
      </c>
      <c r="AH94" s="48">
        <v>19.909549999999999</v>
      </c>
      <c r="AI94" s="48">
        <v>9.6849799999999995</v>
      </c>
      <c r="AJ94" s="48">
        <v>11.74278</v>
      </c>
      <c r="AK94" s="48">
        <v>9.2955100000000002</v>
      </c>
      <c r="AL94" s="48">
        <v>13.259320000000001</v>
      </c>
      <c r="AM94" s="48">
        <v>8.7239500000000003</v>
      </c>
      <c r="AN94" s="48">
        <v>9.4575800000000001</v>
      </c>
      <c r="AO94" s="48">
        <v>20.555990000000001</v>
      </c>
      <c r="AP94" s="48">
        <v>15.684760000000001</v>
      </c>
      <c r="AQ94" s="48">
        <v>8.1226400000000005</v>
      </c>
      <c r="AR94" s="48">
        <v>15.67268</v>
      </c>
      <c r="AS94" s="48">
        <v>18.406230000000001</v>
      </c>
      <c r="AT94" s="48">
        <v>16.503910000000001</v>
      </c>
      <c r="AU94" s="48">
        <v>15.73082</v>
      </c>
      <c r="AV94" s="48">
        <v>19.319980000000001</v>
      </c>
      <c r="AW94" s="48">
        <v>22.336099999999998</v>
      </c>
      <c r="AX94" s="48">
        <v>14.71114</v>
      </c>
      <c r="AY94" s="48">
        <v>26.193249999999999</v>
      </c>
      <c r="AZ94" s="48">
        <v>20.81352</v>
      </c>
      <c r="BA94" s="48">
        <v>11.52436</v>
      </c>
      <c r="BB94" s="48">
        <v>15.30602</v>
      </c>
      <c r="BC94" s="48">
        <v>11.108919999999999</v>
      </c>
      <c r="BD94" s="48">
        <v>10.42656</v>
      </c>
      <c r="BE94" s="48">
        <v>9.12913</v>
      </c>
      <c r="BF94" s="48">
        <v>20.723179999999999</v>
      </c>
      <c r="BG94" s="48">
        <v>10.51355</v>
      </c>
      <c r="BH94" s="48">
        <v>16.55659</v>
      </c>
      <c r="BI94" s="48">
        <v>9.8575300000000006</v>
      </c>
      <c r="BJ94" s="48">
        <v>12.08019</v>
      </c>
      <c r="BK94" s="48">
        <v>18.044370000000001</v>
      </c>
      <c r="BL94" s="48">
        <v>10.563980000000001</v>
      </c>
      <c r="BM94" s="48">
        <v>8.6056600000000003</v>
      </c>
      <c r="BN94" s="48">
        <v>13.34554</v>
      </c>
      <c r="BO94" s="48">
        <v>15.33145</v>
      </c>
      <c r="BP94" s="48">
        <v>19.648009999999999</v>
      </c>
      <c r="BQ94" s="48">
        <v>19.615760000000002</v>
      </c>
      <c r="BR94" s="48">
        <v>13.517569999999999</v>
      </c>
      <c r="BS94" s="48">
        <v>12.960369999999999</v>
      </c>
      <c r="BT94" s="48">
        <v>13.037570000000001</v>
      </c>
    </row>
    <row r="95" spans="1:72" ht="16.5" thickBot="1" x14ac:dyDescent="0.3">
      <c r="A95" s="49" t="s">
        <v>3</v>
      </c>
      <c r="B95" s="159">
        <v>2.7984600067138699</v>
      </c>
      <c r="C95" s="46">
        <v>1</v>
      </c>
      <c r="D95" s="159">
        <v>21.881817622344979</v>
      </c>
      <c r="E95" s="159">
        <v>10.858169999999999</v>
      </c>
      <c r="F95" s="159">
        <v>1.8801176594148217</v>
      </c>
      <c r="G95" s="46">
        <v>169330.87927518331</v>
      </c>
      <c r="I95" s="48">
        <v>9.4515783314663508</v>
      </c>
      <c r="J95" s="48">
        <v>2.1999999991457031</v>
      </c>
      <c r="K95" s="48">
        <v>1.9623661011905114</v>
      </c>
      <c r="L95" s="48">
        <v>1.8801176594148217</v>
      </c>
      <c r="M95" s="48">
        <v>4.8543393238395822</v>
      </c>
      <c r="N95" s="48">
        <v>7.7407812155639846</v>
      </c>
      <c r="O95" s="48">
        <v>2.5010545665515025</v>
      </c>
      <c r="P95" s="48">
        <v>7.5720671552290071</v>
      </c>
      <c r="Q95" s="48">
        <v>0.65532511235480229</v>
      </c>
      <c r="R95" s="48">
        <v>3.7859025431217219</v>
      </c>
      <c r="S95" s="48">
        <v>3.3742485547244172</v>
      </c>
      <c r="T95" s="48">
        <v>5.753708903146304</v>
      </c>
      <c r="U95" s="48">
        <v>3.9718007047375039</v>
      </c>
      <c r="V95" s="48">
        <v>-1.7011368880312006</v>
      </c>
      <c r="W95" s="48">
        <v>1.3906440575121479</v>
      </c>
      <c r="X95" s="48">
        <v>2.2950891154049202</v>
      </c>
      <c r="Y95" s="48">
        <v>1.6251358849883815</v>
      </c>
      <c r="Z95" s="48">
        <v>1.3647836672697764</v>
      </c>
      <c r="AA95" s="48">
        <v>2.4758738514106398</v>
      </c>
      <c r="AB95" s="48">
        <v>12.550538328899833</v>
      </c>
      <c r="AC95" s="48">
        <v>2.9923553361053337</v>
      </c>
      <c r="AD95" s="48">
        <v>1.9656578188557319</v>
      </c>
      <c r="AE95" s="48">
        <v>4.0907695122806729</v>
      </c>
      <c r="AF95" s="48">
        <v>7.8997402926816847</v>
      </c>
      <c r="AG95" s="48">
        <v>2.8693723892527601</v>
      </c>
      <c r="AH95" s="48">
        <v>6.7676105587932938</v>
      </c>
      <c r="AI95" s="48">
        <v>0.7891168795250536</v>
      </c>
      <c r="AJ95" s="48">
        <v>10.259962989017396</v>
      </c>
      <c r="AK95" s="48">
        <v>-0.27550500952816037</v>
      </c>
      <c r="AL95" s="48">
        <v>5.7505321840403809</v>
      </c>
      <c r="AM95" s="48">
        <v>1.7105824180637654</v>
      </c>
      <c r="AN95" s="48">
        <v>4.6520301434902223</v>
      </c>
      <c r="AO95" s="48">
        <v>8.4022770637024706</v>
      </c>
      <c r="AP95" s="48">
        <v>-0.47156684750859768</v>
      </c>
      <c r="AQ95" s="48">
        <v>-2.8736096958718207</v>
      </c>
      <c r="AR95" s="48">
        <v>27.498964227387361</v>
      </c>
      <c r="AS95" s="48">
        <v>7.4259704961548607</v>
      </c>
      <c r="AT95" s="48">
        <v>5.8193148304095388</v>
      </c>
      <c r="AU95" s="48">
        <v>4.2999999999999261</v>
      </c>
      <c r="AV95" s="48">
        <v>5.11019873147265</v>
      </c>
      <c r="AW95" s="48">
        <v>7.0940717618723852</v>
      </c>
      <c r="AX95" s="48">
        <v>6.3651616849400057</v>
      </c>
      <c r="AY95" s="48">
        <v>5.9637801567363766</v>
      </c>
      <c r="AZ95" s="48">
        <v>4.8164146502244023</v>
      </c>
      <c r="BA95" s="48">
        <v>1.0705038483302332</v>
      </c>
      <c r="BB95" s="48">
        <v>0.60193444078448977</v>
      </c>
      <c r="BC95" s="48">
        <v>3.7098103874690906</v>
      </c>
      <c r="BD95" s="48">
        <v>1.8986750387770712</v>
      </c>
      <c r="BE95" s="48">
        <v>-0.9396559797708619</v>
      </c>
      <c r="BF95" s="48">
        <v>4.2662476259499584</v>
      </c>
      <c r="BG95" s="48">
        <v>0.5844780879253193</v>
      </c>
      <c r="BH95" s="48">
        <v>15.24037703594152</v>
      </c>
      <c r="BI95" s="48">
        <v>4.827314044859051</v>
      </c>
      <c r="BJ95" s="48">
        <v>1.2218191529610749</v>
      </c>
      <c r="BK95" s="48">
        <v>3.0397470850071215</v>
      </c>
      <c r="BL95" s="48">
        <v>1.3804782633314971E-2</v>
      </c>
      <c r="BM95" s="48">
        <v>8.0159594057522412</v>
      </c>
      <c r="BN95" s="48">
        <v>5.9889271333556593</v>
      </c>
      <c r="BO95" s="48">
        <v>6.5000000000047891</v>
      </c>
      <c r="BP95" s="48">
        <v>6.3588860812991754</v>
      </c>
      <c r="BQ95" s="48">
        <v>3.9956787703640231</v>
      </c>
      <c r="BR95" s="48">
        <v>5.1703429744023737</v>
      </c>
      <c r="BS95" s="48">
        <v>1.9113776646944416</v>
      </c>
      <c r="BT95" s="48">
        <v>2.5319203804648396</v>
      </c>
    </row>
    <row r="96" spans="1:72" ht="16.5" thickBot="1" x14ac:dyDescent="0.3">
      <c r="A96" s="49" t="s">
        <v>4</v>
      </c>
      <c r="B96" s="159">
        <v>0.21848000586032901</v>
      </c>
      <c r="C96" s="46">
        <v>1</v>
      </c>
      <c r="D96" s="159">
        <v>31.791289790537842</v>
      </c>
      <c r="E96" s="159">
        <v>8.7791099999999993</v>
      </c>
      <c r="F96" s="159">
        <v>4.8543393238395822</v>
      </c>
      <c r="G96" s="46">
        <v>492190.05622469843</v>
      </c>
      <c r="I96" s="48">
        <v>4271713.9821225032</v>
      </c>
      <c r="J96" s="48">
        <v>65191.3459746851</v>
      </c>
      <c r="K96" s="48">
        <v>500401.079458903</v>
      </c>
      <c r="L96" s="48">
        <v>169330.87927518331</v>
      </c>
      <c r="M96" s="48">
        <v>492190.05622469843</v>
      </c>
      <c r="N96" s="48">
        <v>731451.41978196707</v>
      </c>
      <c r="O96" s="48">
        <v>289862.79528760328</v>
      </c>
      <c r="P96" s="48">
        <v>16095141.800003262</v>
      </c>
      <c r="Q96" s="48">
        <v>45534.905003161643</v>
      </c>
      <c r="R96" s="48">
        <v>450173.49385311082</v>
      </c>
      <c r="S96" s="48">
        <v>1273514.0858668638</v>
      </c>
      <c r="T96" s="48">
        <v>1099890.5588803429</v>
      </c>
      <c r="U96" s="48">
        <v>2020967.0233288161</v>
      </c>
      <c r="V96" s="48">
        <v>-69836.211289171828</v>
      </c>
      <c r="W96" s="48">
        <v>16790.066186338096</v>
      </c>
      <c r="X96" s="48">
        <v>245780.657301781</v>
      </c>
      <c r="Y96" s="48">
        <v>94131.153233014731</v>
      </c>
      <c r="Z96" s="48">
        <v>88522.666465635601</v>
      </c>
      <c r="AA96" s="48">
        <v>32843.333194810126</v>
      </c>
      <c r="AB96" s="48">
        <v>14428549.176218487</v>
      </c>
      <c r="AC96" s="48">
        <v>165798.03057865545</v>
      </c>
      <c r="AD96" s="48">
        <v>1283053.8726131562</v>
      </c>
      <c r="AE96" s="48">
        <v>3427407.9555229219</v>
      </c>
      <c r="AF96" s="48">
        <v>2454681.5613008044</v>
      </c>
      <c r="AG96" s="48">
        <v>514064.36156980292</v>
      </c>
      <c r="AH96" s="48">
        <v>507366.47774672712</v>
      </c>
      <c r="AI96" s="48">
        <v>76231.460362367317</v>
      </c>
      <c r="AJ96" s="48">
        <v>141587939.14781713</v>
      </c>
      <c r="AK96" s="48">
        <v>-13603.847789780169</v>
      </c>
      <c r="AL96" s="48">
        <v>497739.32587587961</v>
      </c>
      <c r="AM96" s="48">
        <v>1034249.3651963064</v>
      </c>
      <c r="AN96" s="48">
        <v>5883723.0901396545</v>
      </c>
      <c r="AO96" s="48">
        <v>4518013.2706635641</v>
      </c>
      <c r="AP96" s="48">
        <v>-30765.940686813556</v>
      </c>
      <c r="AQ96" s="48">
        <v>-54201.968611340366</v>
      </c>
      <c r="AR96" s="48">
        <v>178560.3993659057</v>
      </c>
      <c r="AS96" s="48">
        <v>2403489.5365257771</v>
      </c>
      <c r="AT96" s="48">
        <v>1178459.728050469</v>
      </c>
      <c r="AU96" s="48">
        <v>18986.348999999675</v>
      </c>
      <c r="AV96" s="48">
        <v>6588719.908258765</v>
      </c>
      <c r="AW96" s="48">
        <v>286172.23006738012</v>
      </c>
      <c r="AX96" s="48">
        <v>208668.45900121971</v>
      </c>
      <c r="AY96" s="48">
        <v>151533.98819152243</v>
      </c>
      <c r="AZ96" s="48">
        <v>1403349.4891197556</v>
      </c>
      <c r="BA96" s="48">
        <v>183429.4641664596</v>
      </c>
      <c r="BB96" s="48">
        <v>32632.31669692948</v>
      </c>
      <c r="BC96" s="48">
        <v>1404037.5061830196</v>
      </c>
      <c r="BD96" s="48">
        <v>193602.36855973513</v>
      </c>
      <c r="BE96" s="48">
        <v>-180768.11385134092</v>
      </c>
      <c r="BF96" s="48">
        <v>714337.38812829403</v>
      </c>
      <c r="BG96" s="48">
        <v>51068.018955741347</v>
      </c>
      <c r="BH96" s="48">
        <v>891614.1786920419</v>
      </c>
      <c r="BI96" s="48">
        <v>263554.06506502361</v>
      </c>
      <c r="BJ96" s="48">
        <v>25400.862662185911</v>
      </c>
      <c r="BK96" s="48">
        <v>1802834.1754309102</v>
      </c>
      <c r="BL96" s="48">
        <v>6454.3954735889693</v>
      </c>
      <c r="BM96" s="48">
        <v>1716477.3472926477</v>
      </c>
      <c r="BN96" s="48">
        <v>604837.62185449142</v>
      </c>
      <c r="BO96" s="48">
        <v>619946.92500045674</v>
      </c>
      <c r="BP96" s="48">
        <v>3798430.8741749064</v>
      </c>
      <c r="BQ96" s="48">
        <v>330791.21732503129</v>
      </c>
      <c r="BR96" s="48">
        <v>2364966.9418453979</v>
      </c>
      <c r="BS96" s="48">
        <v>1297558.0517060116</v>
      </c>
      <c r="BT96" s="48">
        <v>8380723.5805479046</v>
      </c>
    </row>
    <row r="97" spans="1:21" ht="16.5" thickBot="1" x14ac:dyDescent="0.3">
      <c r="A97" s="49" t="s">
        <v>5</v>
      </c>
      <c r="B97" s="159">
        <v>0.69349998235702504</v>
      </c>
      <c r="C97" s="46">
        <v>1</v>
      </c>
      <c r="D97" s="159">
        <v>20.852178591786398</v>
      </c>
      <c r="E97" s="159">
        <v>12.86463</v>
      </c>
      <c r="F97" s="159">
        <v>7.7407812155639846</v>
      </c>
      <c r="G97" s="46">
        <v>731451.41978196707</v>
      </c>
    </row>
    <row r="98" spans="1:21" ht="16.5" thickBot="1" x14ac:dyDescent="0.3">
      <c r="A98" s="49" t="s">
        <v>6</v>
      </c>
      <c r="B98" s="159">
        <v>2.10477995872498</v>
      </c>
      <c r="C98" s="46">
        <v>1</v>
      </c>
      <c r="D98" s="159">
        <v>25.395925900409388</v>
      </c>
      <c r="E98" s="159">
        <v>12.223739999999999</v>
      </c>
      <c r="F98" s="159">
        <v>2.5010545665515025</v>
      </c>
      <c r="G98" s="46">
        <v>289862.79528760328</v>
      </c>
    </row>
    <row r="99" spans="1:21" ht="16.5" thickBot="1" x14ac:dyDescent="0.3">
      <c r="A99" s="49" t="s">
        <v>7</v>
      </c>
      <c r="B99" s="159">
        <v>1.1604199409484901</v>
      </c>
      <c r="C99" s="46">
        <v>1</v>
      </c>
      <c r="D99" s="159">
        <v>37.709678185702835</v>
      </c>
      <c r="E99" s="159">
        <v>14.559889999999999</v>
      </c>
      <c r="F99" s="159">
        <v>7.5720671552290071</v>
      </c>
      <c r="G99" s="46">
        <v>16095141.800003262</v>
      </c>
      <c r="I99" s="89" t="s">
        <v>145</v>
      </c>
      <c r="O99" s="89" t="s">
        <v>96</v>
      </c>
      <c r="U99" s="90" t="s">
        <v>98</v>
      </c>
    </row>
    <row r="100" spans="1:21" ht="16.5" thickBot="1" x14ac:dyDescent="0.3">
      <c r="A100" s="49" t="s">
        <v>8</v>
      </c>
      <c r="B100" s="159">
        <v>0.59794002771377597</v>
      </c>
      <c r="C100" s="46">
        <v>1</v>
      </c>
      <c r="D100" s="159">
        <v>19.485786470116324</v>
      </c>
      <c r="E100" s="159">
        <v>11.16342</v>
      </c>
      <c r="F100" s="159">
        <v>0.65532511235480229</v>
      </c>
      <c r="G100" s="46">
        <v>45534.905003161643</v>
      </c>
      <c r="I100" s="51">
        <f t="array" ref="I100:M104">MMULT(I92:BT96,C92:G155)</f>
        <v>64</v>
      </c>
      <c r="J100" s="51">
        <v>2463.8529637751285</v>
      </c>
      <c r="K100" s="51">
        <v>918.32269000000008</v>
      </c>
      <c r="L100" s="51">
        <v>280.63556872124326</v>
      </c>
      <c r="M100" s="51">
        <v>241113709.70216131</v>
      </c>
      <c r="O100" s="51">
        <f t="array" ref="O100:S104">MINVERSE(I100:M104)</f>
        <v>0.21430615156863186</v>
      </c>
      <c r="P100" s="51">
        <v>5.4303974046771963E-4</v>
      </c>
      <c r="Q100" s="51">
        <v>-1.586505648177685E-2</v>
      </c>
      <c r="R100" s="51">
        <v>2.2893144566524179E-3</v>
      </c>
      <c r="S100" s="51">
        <v>-5.2583278539107407E-10</v>
      </c>
      <c r="U100" s="51">
        <f t="array" ref="U100:U104">MMULT(I92:BT96,B92:B155)</f>
        <v>73.158220067620263</v>
      </c>
    </row>
    <row r="101" spans="1:21" ht="16.5" thickBot="1" x14ac:dyDescent="0.3">
      <c r="A101" s="49" t="s">
        <v>9</v>
      </c>
      <c r="B101" s="159">
        <v>0.13754999637603799</v>
      </c>
      <c r="C101" s="46">
        <v>1</v>
      </c>
      <c r="D101" s="159">
        <v>82.053945056425576</v>
      </c>
      <c r="E101" s="159">
        <v>16.588100000000001</v>
      </c>
      <c r="F101" s="159">
        <v>3.7859025431217219</v>
      </c>
      <c r="G101" s="46">
        <v>450173.49385311082</v>
      </c>
      <c r="I101" s="51">
        <v>2463.8529637751285</v>
      </c>
      <c r="J101" s="51">
        <v>126329.31216657881</v>
      </c>
      <c r="K101" s="51">
        <v>38947.312044261082</v>
      </c>
      <c r="L101" s="51">
        <v>11942.918371005639</v>
      </c>
      <c r="M101" s="51">
        <v>11525477384.004278</v>
      </c>
      <c r="O101" s="51">
        <v>5.4303974046772657E-4</v>
      </c>
      <c r="P101" s="51">
        <v>5.2525638968335453E-5</v>
      </c>
      <c r="Q101" s="51">
        <v>-1.8495023577710573E-4</v>
      </c>
      <c r="R101" s="51">
        <v>2.8134269189156502E-5</v>
      </c>
      <c r="S101" s="51">
        <v>-9.2133841683398705E-12</v>
      </c>
      <c r="U101" s="51">
        <v>2234.2123083045849</v>
      </c>
    </row>
    <row r="102" spans="1:21" ht="16.5" thickBot="1" x14ac:dyDescent="0.3">
      <c r="A102" s="49" t="s">
        <v>10</v>
      </c>
      <c r="B102" s="159">
        <v>1.8600800037384</v>
      </c>
      <c r="C102" s="46">
        <v>1</v>
      </c>
      <c r="D102" s="159">
        <v>23.74405539363396</v>
      </c>
      <c r="E102" s="159">
        <v>12.387890000000001</v>
      </c>
      <c r="F102" s="159">
        <v>3.3742485547244172</v>
      </c>
      <c r="G102" s="46">
        <v>1273514.0858668638</v>
      </c>
      <c r="I102" s="51">
        <v>918.32269000000008</v>
      </c>
      <c r="J102" s="51">
        <v>38947.312044261082</v>
      </c>
      <c r="K102" s="51">
        <v>14276.771356211897</v>
      </c>
      <c r="L102" s="51">
        <v>4485.6167322940364</v>
      </c>
      <c r="M102" s="51">
        <v>3269752576.8251195</v>
      </c>
      <c r="O102" s="51">
        <v>-1.5865056481776878E-2</v>
      </c>
      <c r="P102" s="51">
        <v>-1.8495023577710533E-4</v>
      </c>
      <c r="Q102" s="51">
        <v>1.74770537566293E-3</v>
      </c>
      <c r="R102" s="51">
        <v>-5.3413326611535317E-4</v>
      </c>
      <c r="S102" s="51">
        <v>6.6330083124595303E-11</v>
      </c>
      <c r="U102" s="51">
        <v>950.08638483093523</v>
      </c>
    </row>
    <row r="103" spans="1:21" ht="16.5" thickBot="1" x14ac:dyDescent="0.3">
      <c r="A103" s="49" t="s">
        <v>11</v>
      </c>
      <c r="B103" s="159">
        <v>0.41721999645233199</v>
      </c>
      <c r="C103" s="46">
        <v>1</v>
      </c>
      <c r="D103" s="159">
        <v>32.237807714903774</v>
      </c>
      <c r="E103" s="159">
        <v>17.514019999999999</v>
      </c>
      <c r="F103" s="159">
        <v>5.753708903146304</v>
      </c>
      <c r="G103" s="46">
        <v>1099890.5588803429</v>
      </c>
      <c r="I103" s="51">
        <v>280.63556872124326</v>
      </c>
      <c r="J103" s="51">
        <v>11942.918371005639</v>
      </c>
      <c r="K103" s="51">
        <v>4485.6167322940364</v>
      </c>
      <c r="L103" s="51">
        <v>2470.1680819555845</v>
      </c>
      <c r="M103" s="51">
        <v>2125840640.8507254</v>
      </c>
      <c r="O103" s="51">
        <v>2.2893144566524821E-3</v>
      </c>
      <c r="P103" s="51">
        <v>2.8134269189156675E-5</v>
      </c>
      <c r="Q103" s="51">
        <v>-5.3413326611535805E-4</v>
      </c>
      <c r="R103" s="51">
        <v>1.0336401546904076E-3</v>
      </c>
      <c r="S103" s="51">
        <v>-6.3888207258114386E-11</v>
      </c>
      <c r="U103" s="51">
        <v>268.3251051193937</v>
      </c>
    </row>
    <row r="104" spans="1:21" ht="16.5" thickBot="1" x14ac:dyDescent="0.3">
      <c r="A104" s="49" t="s">
        <v>12</v>
      </c>
      <c r="B104" s="159">
        <v>0.1805399954319</v>
      </c>
      <c r="C104" s="46">
        <v>1</v>
      </c>
      <c r="D104" s="159">
        <v>43.82746238643881</v>
      </c>
      <c r="E104" s="159">
        <v>16.418579999999999</v>
      </c>
      <c r="F104" s="159">
        <v>3.9718007047375039</v>
      </c>
      <c r="G104" s="46">
        <v>2020967.0233288161</v>
      </c>
      <c r="I104" s="51">
        <v>241113709.70216131</v>
      </c>
      <c r="J104" s="51">
        <v>11525477384.004278</v>
      </c>
      <c r="K104" s="51">
        <v>3269752576.8251195</v>
      </c>
      <c r="L104" s="51">
        <v>2125840640.8507254</v>
      </c>
      <c r="M104" s="51">
        <v>2.0772481607115124E+16</v>
      </c>
      <c r="O104" s="51">
        <v>-5.2583278539114903E-10</v>
      </c>
      <c r="P104" s="51">
        <v>-9.2133841683403213E-12</v>
      </c>
      <c r="Q104" s="51">
        <v>6.6330083124601997E-11</v>
      </c>
      <c r="R104" s="51">
        <v>-6.3888207258115808E-11</v>
      </c>
      <c r="S104" s="51">
        <v>5.545352517145432E-17</v>
      </c>
      <c r="U104" s="51">
        <v>229394608.15098515</v>
      </c>
    </row>
    <row r="105" spans="1:21" ht="16.5" thickBot="1" x14ac:dyDescent="0.3">
      <c r="A105" s="49" t="s">
        <v>13</v>
      </c>
      <c r="B105" s="159">
        <v>0.75442999601364102</v>
      </c>
      <c r="C105" s="46">
        <v>1</v>
      </c>
      <c r="D105" s="159">
        <v>22.775894382471584</v>
      </c>
      <c r="E105" s="159">
        <v>9.0825899999999997</v>
      </c>
      <c r="F105" s="159">
        <v>-1.7011368880312006</v>
      </c>
      <c r="G105" s="46">
        <v>-69836.211289171828</v>
      </c>
    </row>
    <row r="106" spans="1:21" ht="16.5" thickBot="1" x14ac:dyDescent="0.3">
      <c r="A106" s="49" t="s">
        <v>14</v>
      </c>
      <c r="B106" s="159">
        <v>0.49355000257492099</v>
      </c>
      <c r="C106" s="46">
        <v>1</v>
      </c>
      <c r="D106" s="159">
        <v>25.145562973857004</v>
      </c>
      <c r="E106" s="159">
        <v>15.68234</v>
      </c>
      <c r="F106" s="159">
        <v>1.3906440575121479</v>
      </c>
      <c r="G106" s="46">
        <v>16790.066186338096</v>
      </c>
      <c r="I106" s="89" t="s">
        <v>103</v>
      </c>
    </row>
    <row r="107" spans="1:21" ht="16.5" thickBot="1" x14ac:dyDescent="0.3">
      <c r="A107" s="49" t="s">
        <v>15</v>
      </c>
      <c r="B107" s="159">
        <v>1.39740002155304</v>
      </c>
      <c r="C107" s="46">
        <v>1</v>
      </c>
      <c r="D107" s="159">
        <v>20.151363637780804</v>
      </c>
      <c r="E107" s="159">
        <v>9.7125000000000004</v>
      </c>
      <c r="F107" s="159">
        <v>2.2950891154049202</v>
      </c>
      <c r="G107" s="46">
        <v>245780.657301781</v>
      </c>
      <c r="I107" s="115" t="s">
        <v>99</v>
      </c>
      <c r="J107" s="153">
        <f t="array" ref="J107:J111">MMULT(O100:S104,U100:U104)</f>
        <v>2.3120058489191764</v>
      </c>
    </row>
    <row r="108" spans="1:21" ht="16.5" thickBot="1" x14ac:dyDescent="0.3">
      <c r="A108" s="49" t="s">
        <v>16</v>
      </c>
      <c r="B108" s="159">
        <v>3.0013799667358398</v>
      </c>
      <c r="C108" s="46">
        <v>1</v>
      </c>
      <c r="D108" s="159">
        <v>27.475772833313616</v>
      </c>
      <c r="E108" s="159">
        <v>15.103339999999999</v>
      </c>
      <c r="F108" s="159">
        <v>1.6251358849883815</v>
      </c>
      <c r="G108" s="46">
        <v>94131.153233014731</v>
      </c>
      <c r="I108" s="59" t="s">
        <v>100</v>
      </c>
      <c r="J108" s="154">
        <v>-1.3201820873283227E-2</v>
      </c>
      <c r="L108" s="114" t="s">
        <v>176</v>
      </c>
    </row>
    <row r="109" spans="1:21" ht="16.5" thickBot="1" x14ac:dyDescent="0.3">
      <c r="A109" s="49" t="s">
        <v>17</v>
      </c>
      <c r="B109" s="159">
        <v>6.7230001091957106E-2</v>
      </c>
      <c r="C109" s="46">
        <v>1</v>
      </c>
      <c r="D109" s="159">
        <v>52.564166062486308</v>
      </c>
      <c r="E109" s="159">
        <v>16.16422</v>
      </c>
      <c r="F109" s="159">
        <v>1.3647836672697764</v>
      </c>
      <c r="G109" s="46">
        <v>88522.666465635601</v>
      </c>
      <c r="I109" s="59" t="s">
        <v>101</v>
      </c>
      <c r="J109" s="154">
        <v>-4.1511905914095468E-2</v>
      </c>
      <c r="L109" s="114" t="s">
        <v>179</v>
      </c>
    </row>
    <row r="110" spans="1:21" ht="16.5" thickBot="1" x14ac:dyDescent="0.3">
      <c r="A110" s="49" t="s">
        <v>18</v>
      </c>
      <c r="B110" s="159">
        <v>1.61963999271393</v>
      </c>
      <c r="C110" s="46">
        <v>1</v>
      </c>
      <c r="D110" s="159">
        <v>22.944788159347944</v>
      </c>
      <c r="E110" s="159">
        <v>13.681800000000001</v>
      </c>
      <c r="F110" s="159">
        <v>2.4758738514106398</v>
      </c>
      <c r="G110" s="46">
        <v>32843.333194810126</v>
      </c>
      <c r="I110" s="59" t="s">
        <v>102</v>
      </c>
      <c r="J110" s="154">
        <v>-1.4436649596659478E-2</v>
      </c>
      <c r="L110" s="114" t="s">
        <v>180</v>
      </c>
    </row>
    <row r="111" spans="1:21" ht="16.5" thickBot="1" x14ac:dyDescent="0.3">
      <c r="A111" s="49" t="s">
        <v>19</v>
      </c>
      <c r="B111" s="159">
        <v>0.24566000699996901</v>
      </c>
      <c r="C111" s="46">
        <v>1</v>
      </c>
      <c r="D111" s="159">
        <v>85.004237027036027</v>
      </c>
      <c r="E111" s="159">
        <v>22.035820000000001</v>
      </c>
      <c r="F111" s="159">
        <v>12.550538328899833</v>
      </c>
      <c r="G111" s="46">
        <v>14428549.176218487</v>
      </c>
      <c r="I111" s="60" t="s">
        <v>173</v>
      </c>
      <c r="J111" s="155">
        <v>-4.564083121984097E-10</v>
      </c>
      <c r="L111" s="114" t="s">
        <v>175</v>
      </c>
    </row>
    <row r="112" spans="1:21" ht="16.5" thickBot="1" x14ac:dyDescent="0.3">
      <c r="A112" s="49" t="s">
        <v>20</v>
      </c>
      <c r="B112" s="159">
        <v>3.9005999565124498</v>
      </c>
      <c r="C112" s="46">
        <v>1</v>
      </c>
      <c r="D112" s="159">
        <v>24.874028911397382</v>
      </c>
      <c r="E112" s="159">
        <v>11.956110000000001</v>
      </c>
      <c r="F112" s="159">
        <v>2.9923553361053337</v>
      </c>
      <c r="G112" s="46">
        <v>165798.03057865545</v>
      </c>
    </row>
    <row r="113" spans="1:17" ht="16.5" thickBot="1" x14ac:dyDescent="0.3">
      <c r="A113" s="49" t="s">
        <v>21</v>
      </c>
      <c r="B113" s="159">
        <v>2.2444601058960001</v>
      </c>
      <c r="C113" s="46">
        <v>1</v>
      </c>
      <c r="D113" s="159">
        <v>28.303837482940651</v>
      </c>
      <c r="E113" s="159">
        <v>10.069129999999999</v>
      </c>
      <c r="F113" s="159">
        <v>1.9656578188557319</v>
      </c>
      <c r="G113" s="46">
        <v>1283053.8726131562</v>
      </c>
      <c r="K113" s="161" t="s">
        <v>183</v>
      </c>
    </row>
    <row r="114" spans="1:17" ht="16.5" thickBot="1" x14ac:dyDescent="0.3">
      <c r="A114" s="49" t="s">
        <v>22</v>
      </c>
      <c r="B114" s="159">
        <v>2.8035199642181401</v>
      </c>
      <c r="C114" s="46">
        <v>1</v>
      </c>
      <c r="D114" s="159">
        <v>20.386593257709869</v>
      </c>
      <c r="E114" s="159">
        <v>10.616580000000001</v>
      </c>
      <c r="F114" s="159">
        <v>4.0907695122806729</v>
      </c>
      <c r="G114" s="46">
        <v>3427407.9555229219</v>
      </c>
      <c r="I114" t="s">
        <v>123</v>
      </c>
      <c r="J114"/>
      <c r="K114"/>
      <c r="L114"/>
      <c r="M114"/>
      <c r="N114"/>
      <c r="O114"/>
      <c r="P114"/>
      <c r="Q114"/>
    </row>
    <row r="115" spans="1:17" ht="16.5" thickBot="1" x14ac:dyDescent="0.3">
      <c r="A115" s="49" t="s">
        <v>23</v>
      </c>
      <c r="B115" s="159">
        <v>0.37654998898506198</v>
      </c>
      <c r="C115" s="46">
        <v>1</v>
      </c>
      <c r="D115" s="159">
        <v>67.750719621685832</v>
      </c>
      <c r="E115" s="159">
        <v>21.244219999999999</v>
      </c>
      <c r="F115" s="159">
        <v>7.8997402926816847</v>
      </c>
      <c r="G115" s="46">
        <v>2454681.5613008044</v>
      </c>
      <c r="I115"/>
      <c r="J115"/>
      <c r="K115"/>
      <c r="L115"/>
      <c r="M115"/>
      <c r="N115"/>
      <c r="O115"/>
      <c r="P115"/>
      <c r="Q115"/>
    </row>
    <row r="116" spans="1:17" ht="16.5" thickBot="1" x14ac:dyDescent="0.3">
      <c r="A116" s="49" t="s">
        <v>24</v>
      </c>
      <c r="B116" s="159">
        <v>4.3499998748302501E-2</v>
      </c>
      <c r="C116" s="46">
        <v>1</v>
      </c>
      <c r="D116" s="159">
        <v>76.807399855746468</v>
      </c>
      <c r="E116" s="159">
        <v>19.29692</v>
      </c>
      <c r="F116" s="159">
        <v>2.8693723892527601</v>
      </c>
      <c r="G116" s="46">
        <v>514064.36156980292</v>
      </c>
      <c r="I116" s="129" t="s">
        <v>124</v>
      </c>
      <c r="J116" s="129"/>
      <c r="K116"/>
      <c r="L116"/>
      <c r="M116"/>
      <c r="N116"/>
      <c r="O116"/>
      <c r="P116"/>
      <c r="Q116"/>
    </row>
    <row r="117" spans="1:17" ht="16.5" thickBot="1" x14ac:dyDescent="0.3">
      <c r="A117" s="49" t="s">
        <v>75</v>
      </c>
      <c r="B117" s="159">
        <v>0.74927002191543601</v>
      </c>
      <c r="C117" s="46">
        <v>1</v>
      </c>
      <c r="D117" s="159">
        <v>16.200772379695994</v>
      </c>
      <c r="E117" s="159">
        <v>19.909549999999999</v>
      </c>
      <c r="F117" s="159">
        <v>6.7676105587932938</v>
      </c>
      <c r="G117" s="46">
        <v>507366.47774672712</v>
      </c>
      <c r="I117" s="126" t="s">
        <v>125</v>
      </c>
      <c r="J117" s="126">
        <v>0.43832548848570746</v>
      </c>
      <c r="K117"/>
      <c r="L117"/>
      <c r="M117"/>
      <c r="N117"/>
      <c r="O117"/>
      <c r="P117"/>
      <c r="Q117"/>
    </row>
    <row r="118" spans="1:17" ht="16.5" thickBot="1" x14ac:dyDescent="0.3">
      <c r="A118" s="49" t="s">
        <v>26</v>
      </c>
      <c r="B118" s="159">
        <v>1.1700299978256199</v>
      </c>
      <c r="C118" s="46">
        <v>1</v>
      </c>
      <c r="D118" s="159">
        <v>21.336266525980655</v>
      </c>
      <c r="E118" s="159">
        <v>9.6849799999999995</v>
      </c>
      <c r="F118" s="159">
        <v>0.7891168795250536</v>
      </c>
      <c r="G118" s="46">
        <v>76231.460362367317</v>
      </c>
      <c r="I118" s="126" t="s">
        <v>126</v>
      </c>
      <c r="J118" s="126">
        <v>0.19212923385623407</v>
      </c>
      <c r="K118"/>
      <c r="L118"/>
      <c r="M118"/>
      <c r="N118"/>
      <c r="O118"/>
      <c r="P118"/>
      <c r="Q118"/>
    </row>
    <row r="119" spans="1:17" ht="16.5" thickBot="1" x14ac:dyDescent="0.3">
      <c r="A119" s="49" t="s">
        <v>27</v>
      </c>
      <c r="B119" s="159">
        <v>0.79717999696731601</v>
      </c>
      <c r="C119" s="46">
        <v>1</v>
      </c>
      <c r="D119" s="159">
        <v>46.591041531705308</v>
      </c>
      <c r="E119" s="159">
        <v>11.74278</v>
      </c>
      <c r="F119" s="159">
        <v>10.259962989017396</v>
      </c>
      <c r="G119" s="46">
        <v>141587939.14781713</v>
      </c>
      <c r="I119" s="126" t="s">
        <v>127</v>
      </c>
      <c r="J119" s="126">
        <v>0.13735833445665671</v>
      </c>
      <c r="K119"/>
      <c r="L119"/>
      <c r="M119"/>
      <c r="N119"/>
      <c r="O119"/>
      <c r="P119"/>
      <c r="Q119"/>
    </row>
    <row r="120" spans="1:17" ht="16.5" thickBot="1" x14ac:dyDescent="0.3">
      <c r="A120" s="49" t="s">
        <v>28</v>
      </c>
      <c r="B120" s="159">
        <v>1.6885299682617201</v>
      </c>
      <c r="C120" s="46">
        <v>1</v>
      </c>
      <c r="D120" s="159">
        <v>31.700321689171012</v>
      </c>
      <c r="E120" s="159">
        <v>9.2955100000000002</v>
      </c>
      <c r="F120" s="159">
        <v>-0.27550500952816037</v>
      </c>
      <c r="G120" s="46">
        <v>-13603.847789780169</v>
      </c>
      <c r="I120" s="126" t="s">
        <v>128</v>
      </c>
      <c r="J120" s="126">
        <v>0.94766716152980779</v>
      </c>
      <c r="K120"/>
      <c r="L120"/>
      <c r="M120"/>
      <c r="N120"/>
      <c r="O120"/>
      <c r="P120"/>
      <c r="Q120"/>
    </row>
    <row r="121" spans="1:17" ht="16.5" thickBot="1" x14ac:dyDescent="0.3">
      <c r="A121" s="49" t="s">
        <v>29</v>
      </c>
      <c r="B121" s="159">
        <v>3.9650099277496298</v>
      </c>
      <c r="C121" s="46">
        <v>1</v>
      </c>
      <c r="D121" s="159">
        <v>43.702014433578533</v>
      </c>
      <c r="E121" s="159">
        <v>13.259320000000001</v>
      </c>
      <c r="F121" s="159">
        <v>5.7505321840403809</v>
      </c>
      <c r="G121" s="46">
        <v>497739.32587587961</v>
      </c>
      <c r="I121" s="127" t="s">
        <v>129</v>
      </c>
      <c r="J121" s="127">
        <v>64</v>
      </c>
      <c r="K121"/>
      <c r="L121"/>
      <c r="M121"/>
      <c r="N121"/>
      <c r="O121"/>
      <c r="P121"/>
      <c r="Q121"/>
    </row>
    <row r="122" spans="1:17" ht="16.5" thickBot="1" x14ac:dyDescent="0.3">
      <c r="A122" s="49" t="s">
        <v>30</v>
      </c>
      <c r="B122" s="159">
        <v>1.2645800113678001</v>
      </c>
      <c r="C122" s="46">
        <v>1</v>
      </c>
      <c r="D122" s="159">
        <v>21.380458591778407</v>
      </c>
      <c r="E122" s="159">
        <v>8.7239500000000003</v>
      </c>
      <c r="F122" s="159">
        <v>1.7105824180637654</v>
      </c>
      <c r="G122" s="46">
        <v>1034249.3651963064</v>
      </c>
      <c r="I122"/>
      <c r="J122"/>
      <c r="K122"/>
      <c r="L122"/>
      <c r="M122"/>
      <c r="N122"/>
      <c r="O122"/>
      <c r="P122"/>
      <c r="Q122"/>
    </row>
    <row r="123" spans="1:17" ht="16.5" thickBot="1" x14ac:dyDescent="0.3">
      <c r="A123" s="49" t="s">
        <v>31</v>
      </c>
      <c r="B123" s="159">
        <v>3.2539401054382302</v>
      </c>
      <c r="C123" s="46">
        <v>1</v>
      </c>
      <c r="D123" s="159">
        <v>20.841026924106647</v>
      </c>
      <c r="E123" s="159">
        <v>9.4575800000000001</v>
      </c>
      <c r="F123" s="159">
        <v>4.6520301434902223</v>
      </c>
      <c r="G123" s="46">
        <v>5883723.0901396545</v>
      </c>
      <c r="I123" t="s">
        <v>130</v>
      </c>
      <c r="J123"/>
      <c r="K123"/>
      <c r="L123"/>
      <c r="M123"/>
      <c r="N123"/>
      <c r="O123"/>
      <c r="P123"/>
      <c r="Q123"/>
    </row>
    <row r="124" spans="1:17" ht="16.5" thickBot="1" x14ac:dyDescent="0.3">
      <c r="A124" s="49" t="s">
        <v>32</v>
      </c>
      <c r="B124" s="159">
        <v>0.97617000341415405</v>
      </c>
      <c r="C124" s="46">
        <v>1</v>
      </c>
      <c r="D124" s="159">
        <v>77.647765878876569</v>
      </c>
      <c r="E124" s="159">
        <v>20.555990000000001</v>
      </c>
      <c r="F124" s="159">
        <v>8.4022770637024706</v>
      </c>
      <c r="G124" s="46">
        <v>4518013.2706635641</v>
      </c>
      <c r="I124" s="128"/>
      <c r="J124" s="128" t="s">
        <v>133</v>
      </c>
      <c r="K124" s="128" t="s">
        <v>117</v>
      </c>
      <c r="L124" s="128" t="s">
        <v>134</v>
      </c>
      <c r="M124" s="128" t="s">
        <v>135</v>
      </c>
      <c r="N124" s="128" t="s">
        <v>136</v>
      </c>
      <c r="O124"/>
      <c r="P124"/>
      <c r="Q124"/>
    </row>
    <row r="125" spans="1:17" ht="16.5" thickBot="1" x14ac:dyDescent="0.3">
      <c r="A125" s="49" t="s">
        <v>33</v>
      </c>
      <c r="B125" s="159">
        <v>0.15546999871730799</v>
      </c>
      <c r="C125" s="46">
        <v>1</v>
      </c>
      <c r="D125" s="159">
        <v>45.855310265538492</v>
      </c>
      <c r="E125" s="159">
        <v>15.684760000000001</v>
      </c>
      <c r="F125" s="159">
        <v>-0.47156684750859768</v>
      </c>
      <c r="G125" s="46">
        <v>-30765.940686813556</v>
      </c>
      <c r="I125" s="126" t="s">
        <v>120</v>
      </c>
      <c r="J125" s="126">
        <v>4</v>
      </c>
      <c r="K125" s="126">
        <v>12.601296582739401</v>
      </c>
      <c r="L125" s="126">
        <v>3.1503241456848503</v>
      </c>
      <c r="M125" s="126">
        <v>3.5078707116815511</v>
      </c>
      <c r="N125" s="126">
        <v>1.2318822936203899E-2</v>
      </c>
      <c r="O125"/>
      <c r="P125"/>
      <c r="Q125"/>
    </row>
    <row r="126" spans="1:17" ht="16.5" thickBot="1" x14ac:dyDescent="0.3">
      <c r="A126" s="49" t="s">
        <v>34</v>
      </c>
      <c r="B126" s="159">
        <v>0.60458999872207597</v>
      </c>
      <c r="C126" s="46">
        <v>1</v>
      </c>
      <c r="D126" s="159">
        <v>20.978530825946716</v>
      </c>
      <c r="E126" s="159">
        <v>8.1226400000000005</v>
      </c>
      <c r="F126" s="159">
        <v>-2.8736096958718207</v>
      </c>
      <c r="G126" s="46">
        <v>-54201.968611340366</v>
      </c>
      <c r="I126" s="126" t="s">
        <v>131</v>
      </c>
      <c r="J126" s="126">
        <v>59</v>
      </c>
      <c r="K126" s="126">
        <v>52.986309893475799</v>
      </c>
      <c r="L126" s="126">
        <v>0.89807304904196272</v>
      </c>
      <c r="M126" s="126"/>
      <c r="N126" s="126"/>
      <c r="O126"/>
      <c r="P126"/>
      <c r="Q126"/>
    </row>
    <row r="127" spans="1:17" ht="16.5" thickBot="1" x14ac:dyDescent="0.3">
      <c r="A127" s="49" t="s">
        <v>76</v>
      </c>
      <c r="B127" s="159">
        <v>5.1720000803470598E-2</v>
      </c>
      <c r="C127" s="46">
        <v>1</v>
      </c>
      <c r="D127" s="159">
        <v>15.888046941425996</v>
      </c>
      <c r="E127" s="159">
        <v>15.67268</v>
      </c>
      <c r="F127" s="159">
        <v>27.498964227387361</v>
      </c>
      <c r="G127" s="46">
        <v>178560.3993659057</v>
      </c>
      <c r="I127" s="127" t="s">
        <v>122</v>
      </c>
      <c r="J127" s="127">
        <v>63</v>
      </c>
      <c r="K127" s="127">
        <v>65.5876064762152</v>
      </c>
      <c r="L127" s="127"/>
      <c r="M127" s="127"/>
      <c r="N127" s="127"/>
      <c r="O127"/>
      <c r="P127"/>
      <c r="Q127"/>
    </row>
    <row r="128" spans="1:17" ht="16.5" thickBot="1" x14ac:dyDescent="0.3">
      <c r="A128" s="49" t="s">
        <v>36</v>
      </c>
      <c r="B128" s="159">
        <v>1.0673999786377</v>
      </c>
      <c r="C128" s="46">
        <v>1</v>
      </c>
      <c r="D128" s="159">
        <v>41.026654057019734</v>
      </c>
      <c r="E128" s="159">
        <v>18.406230000000001</v>
      </c>
      <c r="F128" s="159">
        <v>7.4259704961548607</v>
      </c>
      <c r="G128" s="46">
        <v>2403489.5365257771</v>
      </c>
      <c r="I128"/>
      <c r="J128"/>
      <c r="K128"/>
      <c r="L128"/>
      <c r="M128"/>
      <c r="N128"/>
      <c r="O128"/>
      <c r="P128"/>
      <c r="Q128"/>
    </row>
    <row r="129" spans="1:17" ht="16.5" thickBot="1" x14ac:dyDescent="0.3">
      <c r="A129" s="49" t="s">
        <v>37</v>
      </c>
      <c r="B129" s="159">
        <v>0.66141998767852805</v>
      </c>
      <c r="C129" s="46">
        <v>1</v>
      </c>
      <c r="D129" s="159">
        <v>93.034395415081789</v>
      </c>
      <c r="E129" s="159">
        <v>16.503910000000001</v>
      </c>
      <c r="F129" s="159">
        <v>5.8193148304095388</v>
      </c>
      <c r="G129" s="46">
        <v>1178459.728050469</v>
      </c>
      <c r="I129" s="128"/>
      <c r="J129" s="128" t="s">
        <v>137</v>
      </c>
      <c r="K129" s="128" t="s">
        <v>128</v>
      </c>
      <c r="L129" s="128" t="s">
        <v>138</v>
      </c>
      <c r="M129" s="128" t="s">
        <v>139</v>
      </c>
      <c r="N129" s="128" t="s">
        <v>140</v>
      </c>
      <c r="O129" s="128" t="s">
        <v>141</v>
      </c>
      <c r="P129" s="128" t="s">
        <v>142</v>
      </c>
      <c r="Q129" s="128" t="s">
        <v>143</v>
      </c>
    </row>
    <row r="130" spans="1:17" ht="16.5" thickBot="1" x14ac:dyDescent="0.3">
      <c r="A130" s="49" t="s">
        <v>38</v>
      </c>
      <c r="B130" s="159">
        <v>0.68136000633239702</v>
      </c>
      <c r="C130" s="46">
        <v>1</v>
      </c>
      <c r="D130" s="159">
        <v>22.35562152645932</v>
      </c>
      <c r="E130" s="159">
        <v>15.73082</v>
      </c>
      <c r="F130" s="159">
        <v>4.2999999999999261</v>
      </c>
      <c r="G130" s="46">
        <v>18986.348999999675</v>
      </c>
      <c r="I130" s="126" t="s">
        <v>132</v>
      </c>
      <c r="J130" s="151">
        <v>2.3120058489191671</v>
      </c>
      <c r="K130" s="126">
        <v>0.43870557207276206</v>
      </c>
      <c r="L130" s="126">
        <v>5.2700626481573529</v>
      </c>
      <c r="M130" s="126">
        <v>2.0217750299090169E-6</v>
      </c>
      <c r="N130" s="126">
        <v>1.4341580268600003</v>
      </c>
      <c r="O130" s="126">
        <v>3.1898536709783336</v>
      </c>
      <c r="P130" s="126">
        <v>1.4341580268600003</v>
      </c>
      <c r="Q130" s="126">
        <v>3.1898536709783336</v>
      </c>
    </row>
    <row r="131" spans="1:17" ht="16.5" thickBot="1" x14ac:dyDescent="0.3">
      <c r="A131" s="49" t="s">
        <v>39</v>
      </c>
      <c r="B131" s="159">
        <v>0.45592001080513</v>
      </c>
      <c r="C131" s="46">
        <v>1</v>
      </c>
      <c r="D131" s="159">
        <v>46.964942568096397</v>
      </c>
      <c r="E131" s="159">
        <v>19.319980000000001</v>
      </c>
      <c r="F131" s="159">
        <v>5.11019873147265</v>
      </c>
      <c r="G131" s="46">
        <v>6588719.908258765</v>
      </c>
      <c r="I131" s="126" t="s">
        <v>67</v>
      </c>
      <c r="J131" s="151">
        <v>-1.3201820873283346E-2</v>
      </c>
      <c r="K131" s="126">
        <v>6.8681773958722218E-3</v>
      </c>
      <c r="L131" s="126">
        <v>-1.9221723773788439</v>
      </c>
      <c r="M131" s="126">
        <v>5.9416910682918871E-2</v>
      </c>
      <c r="N131" s="126">
        <v>-2.6945012098313986E-2</v>
      </c>
      <c r="O131" s="126">
        <v>5.413703517472921E-4</v>
      </c>
      <c r="P131" s="126">
        <v>-2.6945012098313986E-2</v>
      </c>
      <c r="Q131" s="126">
        <v>5.413703517472921E-4</v>
      </c>
    </row>
    <row r="132" spans="1:17" ht="16.5" thickBot="1" x14ac:dyDescent="0.3">
      <c r="A132" s="49" t="s">
        <v>40</v>
      </c>
      <c r="B132" s="159">
        <v>0.43986999988555903</v>
      </c>
      <c r="C132" s="46">
        <v>1</v>
      </c>
      <c r="D132" s="159">
        <v>23.097969840114018</v>
      </c>
      <c r="E132" s="159">
        <v>22.336099999999998</v>
      </c>
      <c r="F132" s="159">
        <v>7.0940717618723852</v>
      </c>
      <c r="G132" s="46">
        <v>286172.23006738012</v>
      </c>
      <c r="I132" s="126" t="s">
        <v>68</v>
      </c>
      <c r="J132" s="151">
        <v>-4.1511905914094156E-2</v>
      </c>
      <c r="K132" s="126">
        <v>3.961776237432682E-2</v>
      </c>
      <c r="L132" s="126">
        <v>-1.0478104624352733</v>
      </c>
      <c r="M132" s="126">
        <v>0.29899947203279847</v>
      </c>
      <c r="N132" s="126">
        <v>-0.12078686531532143</v>
      </c>
      <c r="O132" s="126">
        <v>3.7763053487133123E-2</v>
      </c>
      <c r="P132" s="126">
        <v>-0.12078686531532143</v>
      </c>
      <c r="Q132" s="126">
        <v>3.7763053487133123E-2</v>
      </c>
    </row>
    <row r="133" spans="1:17" ht="16.5" thickBot="1" x14ac:dyDescent="0.3">
      <c r="A133" s="49" t="s">
        <v>41</v>
      </c>
      <c r="B133" s="159">
        <v>0.28334999084472701</v>
      </c>
      <c r="C133" s="46">
        <v>1</v>
      </c>
      <c r="D133" s="159">
        <v>38.931399323039599</v>
      </c>
      <c r="E133" s="159">
        <v>14.71114</v>
      </c>
      <c r="F133" s="159">
        <v>6.3651616849400057</v>
      </c>
      <c r="G133" s="46">
        <v>208668.45900121971</v>
      </c>
      <c r="I133" s="126" t="s">
        <v>64</v>
      </c>
      <c r="J133" s="151">
        <v>-1.4436649596660054E-2</v>
      </c>
      <c r="K133" s="126">
        <v>3.046775944067796E-2</v>
      </c>
      <c r="L133" s="126">
        <v>-0.47383364781938864</v>
      </c>
      <c r="M133" s="126">
        <v>0.63736732022997566</v>
      </c>
      <c r="N133" s="126">
        <v>-7.5402495418161866E-2</v>
      </c>
      <c r="O133" s="126">
        <v>4.6529196224841765E-2</v>
      </c>
      <c r="P133" s="126">
        <v>-7.5402495418161866E-2</v>
      </c>
      <c r="Q133" s="126">
        <v>4.6529196224841765E-2</v>
      </c>
    </row>
    <row r="134" spans="1:17" ht="16.5" thickBot="1" x14ac:dyDescent="0.3">
      <c r="A134" s="49" t="s">
        <v>42</v>
      </c>
      <c r="B134" s="159">
        <v>0.14440999925136599</v>
      </c>
      <c r="C134" s="46">
        <v>1</v>
      </c>
      <c r="D134" s="159">
        <v>64.003760570758601</v>
      </c>
      <c r="E134" s="159">
        <v>26.193249999999999</v>
      </c>
      <c r="F134" s="159">
        <v>5.9637801567363766</v>
      </c>
      <c r="G134" s="46">
        <v>151533.98819152243</v>
      </c>
      <c r="I134" s="127" t="s">
        <v>172</v>
      </c>
      <c r="J134" s="152">
        <v>-4.5640831219835164E-10</v>
      </c>
      <c r="K134" s="127">
        <v>7.0570047775847055E-9</v>
      </c>
      <c r="L134" s="127">
        <v>-6.4674508036050904E-2</v>
      </c>
      <c r="M134" s="127">
        <v>0.94865179643436259</v>
      </c>
      <c r="N134" s="127">
        <v>-1.4577442255292179E-8</v>
      </c>
      <c r="O134" s="127">
        <v>1.3664625630895476E-8</v>
      </c>
      <c r="P134" s="127">
        <v>-1.4577442255292179E-8</v>
      </c>
      <c r="Q134" s="127">
        <v>1.3664625630895476E-8</v>
      </c>
    </row>
    <row r="135" spans="1:17" ht="16.5" thickBot="1" x14ac:dyDescent="0.3">
      <c r="A135" s="49" t="s">
        <v>43</v>
      </c>
      <c r="B135" s="159">
        <v>0.30219998955726601</v>
      </c>
      <c r="C135" s="46">
        <v>1</v>
      </c>
      <c r="D135" s="159">
        <v>64.012022127870878</v>
      </c>
      <c r="E135" s="159">
        <v>20.81352</v>
      </c>
      <c r="F135" s="159">
        <v>4.8164146502244023</v>
      </c>
      <c r="G135" s="46">
        <v>1403349.4891197556</v>
      </c>
      <c r="I135"/>
      <c r="J135"/>
      <c r="K135"/>
      <c r="L135"/>
      <c r="M135"/>
      <c r="N135"/>
      <c r="O135"/>
      <c r="P135"/>
      <c r="Q135"/>
    </row>
    <row r="136" spans="1:17" ht="16.5" thickBot="1" x14ac:dyDescent="0.3">
      <c r="A136" s="49" t="s">
        <v>44</v>
      </c>
      <c r="B136" s="159">
        <v>1.8561999797821001</v>
      </c>
      <c r="C136" s="46">
        <v>1</v>
      </c>
      <c r="D136" s="159">
        <v>26.101342986602088</v>
      </c>
      <c r="E136" s="159">
        <v>11.52436</v>
      </c>
      <c r="F136" s="159">
        <v>1.0705038483302332</v>
      </c>
      <c r="G136" s="46">
        <v>183429.4641664596</v>
      </c>
      <c r="I136"/>
      <c r="J136"/>
      <c r="K136"/>
      <c r="L136"/>
      <c r="M136"/>
      <c r="N136"/>
      <c r="O136"/>
      <c r="P136"/>
      <c r="Q136"/>
    </row>
    <row r="137" spans="1:17" ht="16.5" thickBot="1" x14ac:dyDescent="0.3">
      <c r="A137" s="49" t="s">
        <v>45</v>
      </c>
      <c r="B137" s="159">
        <v>1.6806099414825399</v>
      </c>
      <c r="C137" s="46">
        <v>1</v>
      </c>
      <c r="D137" s="159">
        <v>28.409666470846908</v>
      </c>
      <c r="E137" s="159">
        <v>15.30602</v>
      </c>
      <c r="F137" s="159">
        <v>0.60193444078448977</v>
      </c>
      <c r="G137" s="46">
        <v>32632.31669692948</v>
      </c>
      <c r="I137"/>
      <c r="J137"/>
      <c r="K137"/>
      <c r="L137"/>
      <c r="M137"/>
      <c r="N137"/>
      <c r="O137"/>
      <c r="P137"/>
      <c r="Q137"/>
    </row>
    <row r="138" spans="1:17" ht="16.5" thickBot="1" x14ac:dyDescent="0.3">
      <c r="A138" s="49" t="s">
        <v>46</v>
      </c>
      <c r="B138" s="159">
        <v>0.73530000448226895</v>
      </c>
      <c r="C138" s="46">
        <v>1</v>
      </c>
      <c r="D138" s="159">
        <v>21.002491759149297</v>
      </c>
      <c r="E138" s="159">
        <v>11.108919999999999</v>
      </c>
      <c r="F138" s="159">
        <v>3.7098103874690906</v>
      </c>
      <c r="G138" s="46">
        <v>1404037.5061830196</v>
      </c>
    </row>
    <row r="139" spans="1:17" ht="16.5" thickBot="1" x14ac:dyDescent="0.3">
      <c r="A139" s="49" t="s">
        <v>47</v>
      </c>
      <c r="B139" s="159">
        <v>1.59007000923157</v>
      </c>
      <c r="C139" s="46">
        <v>1</v>
      </c>
      <c r="D139" s="159">
        <v>22.665676290055632</v>
      </c>
      <c r="E139" s="159">
        <v>10.42656</v>
      </c>
      <c r="F139" s="159">
        <v>1.8986750387770712</v>
      </c>
      <c r="G139" s="46">
        <v>193602.36855973513</v>
      </c>
    </row>
    <row r="140" spans="1:17" ht="16.5" thickBot="1" x14ac:dyDescent="0.3">
      <c r="A140" s="49" t="s">
        <v>48</v>
      </c>
      <c r="B140" s="159">
        <v>0.46086001396179199</v>
      </c>
      <c r="C140" s="46">
        <v>1</v>
      </c>
      <c r="D140" s="159">
        <v>21.402772707478693</v>
      </c>
      <c r="E140" s="159">
        <v>9.12913</v>
      </c>
      <c r="F140" s="159">
        <v>-0.9396559797708619</v>
      </c>
      <c r="G140" s="46">
        <v>-180768.11385134092</v>
      </c>
    </row>
    <row r="141" spans="1:17" ht="16.5" thickBot="1" x14ac:dyDescent="0.3">
      <c r="A141" s="49" t="s">
        <v>49</v>
      </c>
      <c r="B141" s="159">
        <v>0.54085999727249101</v>
      </c>
      <c r="C141" s="46">
        <v>1</v>
      </c>
      <c r="D141" s="159">
        <v>81.910321426951114</v>
      </c>
      <c r="E141" s="159">
        <v>20.723179999999999</v>
      </c>
      <c r="F141" s="159">
        <v>4.2662476259499584</v>
      </c>
      <c r="G141" s="46">
        <v>714337.38812829403</v>
      </c>
    </row>
    <row r="142" spans="1:17" ht="16.5" thickBot="1" x14ac:dyDescent="0.3">
      <c r="A142" s="49" t="s">
        <v>50</v>
      </c>
      <c r="B142" s="159">
        <v>0.79212999343872104</v>
      </c>
      <c r="C142" s="46">
        <v>1</v>
      </c>
      <c r="D142" s="159">
        <v>24.311684081557306</v>
      </c>
      <c r="E142" s="159">
        <v>10.51355</v>
      </c>
      <c r="F142" s="159">
        <v>0.5844780879253193</v>
      </c>
      <c r="G142" s="46">
        <v>51068.018955741347</v>
      </c>
    </row>
    <row r="143" spans="1:17" ht="16.5" thickBot="1" x14ac:dyDescent="0.3">
      <c r="A143" s="49" t="s">
        <v>51</v>
      </c>
      <c r="B143" s="159">
        <v>2.0539999008178702</v>
      </c>
      <c r="C143" s="46">
        <v>1</v>
      </c>
      <c r="D143" s="159">
        <v>23.548008418714712</v>
      </c>
      <c r="E143" s="159">
        <v>16.55659</v>
      </c>
      <c r="F143" s="159">
        <v>15.24037703594152</v>
      </c>
      <c r="G143" s="46">
        <v>891614.1786920419</v>
      </c>
    </row>
    <row r="144" spans="1:17" ht="16.5" thickBot="1" x14ac:dyDescent="0.3">
      <c r="A144" s="49" t="s">
        <v>52</v>
      </c>
      <c r="B144" s="159">
        <v>0.63331997394561801</v>
      </c>
      <c r="C144" s="46">
        <v>1</v>
      </c>
      <c r="D144" s="159">
        <v>20.84600801517869</v>
      </c>
      <c r="E144" s="159">
        <v>9.8575300000000006</v>
      </c>
      <c r="F144" s="159">
        <v>4.827314044859051</v>
      </c>
      <c r="G144" s="46">
        <v>263554.06506502361</v>
      </c>
    </row>
    <row r="145" spans="1:7" ht="16.5" thickBot="1" x14ac:dyDescent="0.3">
      <c r="A145" s="49" t="s">
        <v>53</v>
      </c>
      <c r="B145" s="159">
        <v>2.10624003410339</v>
      </c>
      <c r="C145" s="46">
        <v>1</v>
      </c>
      <c r="D145" s="159">
        <v>20.213249852838871</v>
      </c>
      <c r="E145" s="159">
        <v>12.08019</v>
      </c>
      <c r="F145" s="159">
        <v>1.2218191529610749</v>
      </c>
      <c r="G145" s="46">
        <v>25400.862662185911</v>
      </c>
    </row>
    <row r="146" spans="1:7" ht="16.5" thickBot="1" x14ac:dyDescent="0.3">
      <c r="A146" s="49" t="s">
        <v>54</v>
      </c>
      <c r="B146" s="159">
        <v>0.76160001754760698</v>
      </c>
      <c r="C146" s="46">
        <v>1</v>
      </c>
      <c r="D146" s="159">
        <v>45.66513050216529</v>
      </c>
      <c r="E146" s="159">
        <v>18.044370000000001</v>
      </c>
      <c r="F146" s="159">
        <v>3.0397470850071215</v>
      </c>
      <c r="G146" s="46">
        <v>1802834.1754309102</v>
      </c>
    </row>
    <row r="147" spans="1:7" ht="16.5" thickBot="1" x14ac:dyDescent="0.3">
      <c r="A147" s="49" t="s">
        <v>55</v>
      </c>
      <c r="B147" s="159">
        <v>1.3952000141143801</v>
      </c>
      <c r="C147" s="46">
        <v>1</v>
      </c>
      <c r="D147" s="159">
        <v>21.961482217125013</v>
      </c>
      <c r="E147" s="159">
        <v>10.563980000000001</v>
      </c>
      <c r="F147" s="159">
        <v>1.3804782633314971E-2</v>
      </c>
      <c r="G147" s="46">
        <v>6454.3954735889693</v>
      </c>
    </row>
    <row r="148" spans="1:7" ht="16.5" thickBot="1" x14ac:dyDescent="0.3">
      <c r="A148" s="49" t="s">
        <v>56</v>
      </c>
      <c r="B148" s="159">
        <v>0.15663999319076499</v>
      </c>
      <c r="C148" s="46">
        <v>1</v>
      </c>
      <c r="D148" s="159">
        <v>37.433780799783214</v>
      </c>
      <c r="E148" s="159">
        <v>8.6056600000000003</v>
      </c>
      <c r="F148" s="159">
        <v>8.0159594057522412</v>
      </c>
      <c r="G148" s="46">
        <v>1716477.3472926477</v>
      </c>
    </row>
    <row r="149" spans="1:7" ht="16.5" thickBot="1" x14ac:dyDescent="0.3">
      <c r="A149" s="49" t="s">
        <v>57</v>
      </c>
      <c r="B149" s="159">
        <v>3.3919401168823202</v>
      </c>
      <c r="C149" s="46">
        <v>1</v>
      </c>
      <c r="D149" s="159">
        <v>25.283074889864963</v>
      </c>
      <c r="E149" s="159">
        <v>13.34554</v>
      </c>
      <c r="F149" s="159">
        <v>5.9889271333556593</v>
      </c>
      <c r="G149" s="46">
        <v>604837.62185449142</v>
      </c>
    </row>
    <row r="150" spans="1:7" ht="16.5" thickBot="1" x14ac:dyDescent="0.3">
      <c r="A150" s="49" t="s">
        <v>58</v>
      </c>
      <c r="B150" s="159">
        <v>8.9139997959137005E-2</v>
      </c>
      <c r="C150" s="46">
        <v>1</v>
      </c>
      <c r="D150" s="159">
        <v>59.084970450040728</v>
      </c>
      <c r="E150" s="159">
        <v>15.33145</v>
      </c>
      <c r="F150" s="159">
        <v>6.5000000000047891</v>
      </c>
      <c r="G150" s="46">
        <v>619946.92500045674</v>
      </c>
    </row>
    <row r="151" spans="1:7" ht="16.5" thickBot="1" x14ac:dyDescent="0.3">
      <c r="A151" s="49" t="s">
        <v>59</v>
      </c>
      <c r="B151" s="159">
        <v>0.51616001129150402</v>
      </c>
      <c r="C151" s="46">
        <v>1</v>
      </c>
      <c r="D151" s="159">
        <v>86.154025919706541</v>
      </c>
      <c r="E151" s="159">
        <v>19.648009999999999</v>
      </c>
      <c r="F151" s="159">
        <v>6.3588860812991754</v>
      </c>
      <c r="G151" s="46">
        <v>3798430.8741749064</v>
      </c>
    </row>
    <row r="152" spans="1:7" ht="16.5" thickBot="1" x14ac:dyDescent="0.3">
      <c r="A152" s="49" t="s">
        <v>60</v>
      </c>
      <c r="B152" s="159">
        <v>0.253490000963211</v>
      </c>
      <c r="C152" s="46">
        <v>1</v>
      </c>
      <c r="D152" s="159">
        <v>76.228799727827351</v>
      </c>
      <c r="E152" s="159">
        <v>19.615760000000002</v>
      </c>
      <c r="F152" s="159">
        <v>3.9956787703640231</v>
      </c>
      <c r="G152" s="46">
        <v>330791.21732503129</v>
      </c>
    </row>
    <row r="153" spans="1:7" ht="16.5" thickBot="1" x14ac:dyDescent="0.3">
      <c r="A153" s="49" t="s">
        <v>61</v>
      </c>
      <c r="B153" s="159">
        <v>0.55794000625610396</v>
      </c>
      <c r="C153" s="46">
        <v>1</v>
      </c>
      <c r="D153" s="159">
        <v>100.33839946629502</v>
      </c>
      <c r="E153" s="159">
        <v>13.517569999999999</v>
      </c>
      <c r="F153" s="159">
        <v>5.1703429744023737</v>
      </c>
      <c r="G153" s="46">
        <v>2364966.9418453979</v>
      </c>
    </row>
    <row r="154" spans="1:7" ht="16.5" thickBot="1" x14ac:dyDescent="0.3">
      <c r="A154" s="49" t="s">
        <v>62</v>
      </c>
      <c r="B154" s="159">
        <v>1.77447998523712</v>
      </c>
      <c r="C154" s="46">
        <v>1</v>
      </c>
      <c r="D154" s="159">
        <v>26.666562470082294</v>
      </c>
      <c r="E154" s="159">
        <v>12.960369999999999</v>
      </c>
      <c r="F154" s="159">
        <v>1.9113776646944416</v>
      </c>
      <c r="G154" s="46">
        <v>1297558.0517060116</v>
      </c>
    </row>
    <row r="155" spans="1:7" ht="16.5" thickBot="1" x14ac:dyDescent="0.3">
      <c r="A155" s="52" t="s">
        <v>63</v>
      </c>
      <c r="B155" s="159">
        <v>2.73827004432678</v>
      </c>
      <c r="C155" s="46">
        <v>1</v>
      </c>
      <c r="D155" s="159">
        <v>29.568269020866804</v>
      </c>
      <c r="E155" s="159">
        <v>13.037570000000001</v>
      </c>
      <c r="F155" s="159">
        <v>2.5319203804648396</v>
      </c>
      <c r="G155" s="46">
        <v>8380723.5805479046</v>
      </c>
    </row>
  </sheetData>
  <mergeCells count="12">
    <mergeCell ref="L52:T53"/>
    <mergeCell ref="S75:V77"/>
    <mergeCell ref="L73:Q73"/>
    <mergeCell ref="J1:J2"/>
    <mergeCell ref="O23:S23"/>
    <mergeCell ref="L39:L40"/>
    <mergeCell ref="L32:O32"/>
    <mergeCell ref="O28:T31"/>
    <mergeCell ref="L45:N45"/>
    <mergeCell ref="R41:X43"/>
    <mergeCell ref="M42:P42"/>
    <mergeCell ref="V25:AA2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Database Geral</vt:lpstr>
      <vt:lpstr>Cruzamento</vt:lpstr>
      <vt:lpstr>Base de Dados P1</vt:lpstr>
      <vt:lpstr>Folha de Respostas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 F.</dc:creator>
  <cp:lastModifiedBy>gioam</cp:lastModifiedBy>
  <dcterms:created xsi:type="dcterms:W3CDTF">2015-06-05T18:19:34Z</dcterms:created>
  <dcterms:modified xsi:type="dcterms:W3CDTF">2021-05-09T20:29:49Z</dcterms:modified>
</cp:coreProperties>
</file>