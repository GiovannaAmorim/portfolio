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EstaPastaDeTrabalho"/>
  <mc:AlternateContent xmlns:mc="http://schemas.openxmlformats.org/markup-compatibility/2006">
    <mc:Choice Requires="x15">
      <x15ac:absPath xmlns:x15ac="http://schemas.microsoft.com/office/spreadsheetml/2010/11/ac" url="C:\Users\gioam\OneDrive\Área de Trabalho\"/>
    </mc:Choice>
  </mc:AlternateContent>
  <bookViews>
    <workbookView xWindow="0" yWindow="0" windowWidth="20490" windowHeight="7755" tabRatio="723" firstSheet="4" activeTab="7"/>
  </bookViews>
  <sheets>
    <sheet name="Questão 1 - Multicolinearidade" sheetId="2" state="hidden" r:id="rId1"/>
    <sheet name="Questão 2 - Heterocedasticidade" sheetId="5" state="hidden" r:id="rId2"/>
    <sheet name="RESOLUÇÃO QUESTÃO 1" sheetId="7" r:id="rId3"/>
    <sheet name="RESOLUÇÃO QUESTÃO 2" sheetId="8" r:id="rId4"/>
    <sheet name="Questão 3 - Autocorrelação" sheetId="6" r:id="rId5"/>
    <sheet name="RESOLUÇÃO QUESTÃO 3" sheetId="9" r:id="rId6"/>
    <sheet name="Questão 4 - Variáveis Binárias" sheetId="11" r:id="rId7"/>
    <sheet name="RESOLUÇÃO QUESTÃO 4" sheetId="12" r:id="rId8"/>
  </sheets>
  <definedNames>
    <definedName name="_xlnm._FilterDatabase" localSheetId="5" hidden="1">'RESOLUÇÃO QUESTÃO 3'!$A$1:$F$1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94" i="12" l="1"/>
  <c r="S93" i="12"/>
  <c r="R93" i="12"/>
  <c r="Q93" i="12"/>
  <c r="P93" i="12"/>
  <c r="O93" i="12"/>
  <c r="N93" i="12"/>
  <c r="E2" i="12"/>
  <c r="F2" i="12"/>
  <c r="E3" i="12"/>
  <c r="F3" i="12"/>
  <c r="E4" i="12"/>
  <c r="F4" i="12"/>
  <c r="E5" i="12"/>
  <c r="F5" i="12"/>
  <c r="E6" i="12"/>
  <c r="F6" i="12"/>
  <c r="E7" i="12"/>
  <c r="F7" i="12"/>
  <c r="E8" i="12"/>
  <c r="F8" i="12"/>
  <c r="E9" i="12"/>
  <c r="F9" i="12"/>
  <c r="E10" i="12"/>
  <c r="F10" i="12"/>
  <c r="E11" i="12"/>
  <c r="F11" i="12"/>
  <c r="E12" i="12"/>
  <c r="F12" i="12"/>
  <c r="E13" i="12"/>
  <c r="F13" i="12"/>
  <c r="E14" i="12"/>
  <c r="F14" i="12"/>
  <c r="E15" i="12"/>
  <c r="F15" i="12"/>
  <c r="E16" i="12"/>
  <c r="F16" i="12"/>
  <c r="R70" i="12"/>
  <c r="Q70" i="12"/>
  <c r="P70" i="12"/>
  <c r="O70" i="12"/>
  <c r="N70" i="12"/>
  <c r="N71" i="12"/>
  <c r="C69" i="12"/>
  <c r="C70" i="12"/>
  <c r="C71" i="12"/>
  <c r="C72" i="12"/>
  <c r="C73" i="12"/>
  <c r="C74" i="12"/>
  <c r="C75" i="12"/>
  <c r="C76" i="12"/>
  <c r="C77" i="12"/>
  <c r="C78" i="12"/>
  <c r="C79" i="12"/>
  <c r="C80" i="12"/>
  <c r="C81" i="12"/>
  <c r="C82" i="12"/>
  <c r="C68" i="12"/>
  <c r="S46" i="12"/>
  <c r="R46" i="12"/>
  <c r="Q46" i="12"/>
  <c r="P46" i="12"/>
  <c r="O46" i="12"/>
  <c r="N46" i="12"/>
  <c r="N47" i="12"/>
  <c r="M25" i="12"/>
  <c r="Q24" i="12"/>
  <c r="P24" i="12"/>
  <c r="O24" i="12"/>
  <c r="N24" i="12"/>
  <c r="M24" i="12"/>
  <c r="M5" i="12"/>
  <c r="O4" i="12"/>
  <c r="N4" i="12"/>
  <c r="M4" i="12"/>
  <c r="G45" i="12"/>
  <c r="G46" i="12"/>
  <c r="G47" i="12"/>
  <c r="G48" i="12"/>
  <c r="G49" i="12"/>
  <c r="G50" i="12"/>
  <c r="G51" i="12"/>
  <c r="G52" i="12"/>
  <c r="G53" i="12"/>
  <c r="G54" i="12"/>
  <c r="G55" i="12"/>
  <c r="G56" i="12"/>
  <c r="G57" i="12"/>
  <c r="G58" i="12"/>
  <c r="G44" i="12"/>
  <c r="D2" i="12" l="1"/>
  <c r="D3" i="12"/>
  <c r="D4" i="12"/>
  <c r="D5" i="12"/>
  <c r="D6" i="12"/>
  <c r="D7" i="12"/>
  <c r="D8" i="12"/>
  <c r="D9" i="12"/>
  <c r="D10" i="12"/>
  <c r="D11" i="12"/>
  <c r="D12" i="12"/>
  <c r="D13" i="12"/>
  <c r="D14" i="12"/>
  <c r="D15" i="12"/>
  <c r="D16" i="12"/>
  <c r="A103" i="9" l="1"/>
  <c r="A104" i="9"/>
  <c r="A105" i="9"/>
  <c r="A106" i="9"/>
  <c r="A107" i="9"/>
  <c r="A108" i="9"/>
  <c r="A109" i="9"/>
  <c r="A110" i="9"/>
  <c r="A111" i="9"/>
  <c r="A112" i="9"/>
  <c r="A113" i="9"/>
  <c r="A114" i="9"/>
  <c r="A115" i="9"/>
  <c r="A116" i="9"/>
  <c r="A102" i="9"/>
  <c r="M82" i="9"/>
  <c r="M81" i="9"/>
  <c r="A81" i="9"/>
  <c r="A82" i="9"/>
  <c r="A83" i="9"/>
  <c r="A84" i="9"/>
  <c r="A85" i="9"/>
  <c r="A86" i="9"/>
  <c r="A87" i="9"/>
  <c r="A88" i="9"/>
  <c r="A89" i="9"/>
  <c r="A90" i="9"/>
  <c r="A91" i="9"/>
  <c r="A92" i="9"/>
  <c r="A93" i="9"/>
  <c r="A94" i="9"/>
  <c r="A80" i="9"/>
  <c r="B102" i="9"/>
  <c r="B103" i="9"/>
  <c r="B104" i="9" l="1"/>
  <c r="B105" i="9"/>
  <c r="B106" i="9"/>
  <c r="B107" i="9"/>
  <c r="B108" i="9"/>
  <c r="B109" i="9"/>
  <c r="B110" i="9"/>
  <c r="B111" i="9"/>
  <c r="B112" i="9"/>
  <c r="B113" i="9"/>
  <c r="B114" i="9"/>
  <c r="B115" i="9"/>
  <c r="B116" i="9"/>
  <c r="E3" i="9"/>
  <c r="D81" i="9" s="1"/>
  <c r="F82" i="9" s="1"/>
  <c r="E4" i="9"/>
  <c r="D82" i="9" s="1"/>
  <c r="F83" i="9" s="1"/>
  <c r="E5" i="9"/>
  <c r="D83" i="9" s="1"/>
  <c r="F84" i="9" s="1"/>
  <c r="E6" i="9"/>
  <c r="D84" i="9" s="1"/>
  <c r="F85" i="9" s="1"/>
  <c r="E7" i="9"/>
  <c r="D85" i="9" s="1"/>
  <c r="F86" i="9" s="1"/>
  <c r="E8" i="9"/>
  <c r="D86" i="9" s="1"/>
  <c r="F87" i="9" s="1"/>
  <c r="E9" i="9"/>
  <c r="D87" i="9" s="1"/>
  <c r="F88" i="9" s="1"/>
  <c r="E10" i="9"/>
  <c r="D88" i="9" s="1"/>
  <c r="F89" i="9" s="1"/>
  <c r="E11" i="9"/>
  <c r="D89" i="9" s="1"/>
  <c r="F90" i="9" s="1"/>
  <c r="E12" i="9"/>
  <c r="D90" i="9" s="1"/>
  <c r="F91" i="9" s="1"/>
  <c r="E13" i="9"/>
  <c r="D91" i="9" s="1"/>
  <c r="F92" i="9" s="1"/>
  <c r="E14" i="9"/>
  <c r="D92" i="9" s="1"/>
  <c r="F93" i="9" s="1"/>
  <c r="E15" i="9"/>
  <c r="D93" i="9" s="1"/>
  <c r="F94" i="9" s="1"/>
  <c r="E16" i="9"/>
  <c r="D94" i="9" s="1"/>
  <c r="E2" i="9"/>
  <c r="D80" i="9" s="1"/>
  <c r="F81" i="9" s="1"/>
  <c r="D3" i="9"/>
  <c r="C81" i="9" s="1"/>
  <c r="E82" i="9" s="1"/>
  <c r="D4" i="9"/>
  <c r="C82" i="9" s="1"/>
  <c r="E83" i="9" s="1"/>
  <c r="D5" i="9"/>
  <c r="C83" i="9" s="1"/>
  <c r="E84" i="9" s="1"/>
  <c r="D6" i="9"/>
  <c r="C84" i="9" s="1"/>
  <c r="E85" i="9" s="1"/>
  <c r="D7" i="9"/>
  <c r="C85" i="9" s="1"/>
  <c r="E86" i="9" s="1"/>
  <c r="D8" i="9"/>
  <c r="C86" i="9" s="1"/>
  <c r="E87" i="9" s="1"/>
  <c r="D9" i="9"/>
  <c r="C87" i="9" s="1"/>
  <c r="E88" i="9" s="1"/>
  <c r="D10" i="9"/>
  <c r="C88" i="9" s="1"/>
  <c r="E89" i="9" s="1"/>
  <c r="D11" i="9"/>
  <c r="C89" i="9" s="1"/>
  <c r="E90" i="9" s="1"/>
  <c r="D12" i="9"/>
  <c r="C90" i="9" s="1"/>
  <c r="E91" i="9" s="1"/>
  <c r="D13" i="9"/>
  <c r="C91" i="9" s="1"/>
  <c r="E92" i="9" s="1"/>
  <c r="D14" i="9"/>
  <c r="C92" i="9" s="1"/>
  <c r="E93" i="9" s="1"/>
  <c r="D15" i="9"/>
  <c r="C93" i="9" s="1"/>
  <c r="E94" i="9" s="1"/>
  <c r="D16" i="9"/>
  <c r="C94" i="9" s="1"/>
  <c r="D2" i="9"/>
  <c r="C80" i="9" s="1"/>
  <c r="E81" i="9" s="1"/>
  <c r="B120" i="9" l="1"/>
  <c r="B118" i="9"/>
  <c r="B119" i="9"/>
  <c r="H5" i="9" a="1"/>
  <c r="H5" i="9" s="1"/>
  <c r="G106" i="9" l="1"/>
  <c r="G107" i="9"/>
  <c r="G108" i="9"/>
  <c r="I103" i="9"/>
  <c r="H103" i="9" s="1"/>
  <c r="G109" i="9"/>
  <c r="I102" i="9"/>
  <c r="H102" i="9" s="1"/>
  <c r="G110" i="9"/>
  <c r="G103" i="9"/>
  <c r="I105" i="9" s="1"/>
  <c r="H105" i="9" s="1"/>
  <c r="G111" i="9"/>
  <c r="G102" i="9"/>
  <c r="G104" i="9"/>
  <c r="G112" i="9"/>
  <c r="G105" i="9"/>
  <c r="I6" i="9"/>
  <c r="J6" i="9"/>
  <c r="H7" i="9"/>
  <c r="I7" i="9"/>
  <c r="H6" i="9"/>
  <c r="J7" i="9"/>
  <c r="I5" i="9"/>
  <c r="J5" i="9"/>
  <c r="A36" i="9"/>
  <c r="A60" i="9" s="1"/>
  <c r="A37" i="9"/>
  <c r="A61" i="9" s="1"/>
  <c r="A38" i="9"/>
  <c r="A62" i="9" s="1"/>
  <c r="A39" i="9"/>
  <c r="A63" i="9" s="1"/>
  <c r="A40" i="9"/>
  <c r="A64" i="9" s="1"/>
  <c r="A41" i="9"/>
  <c r="A65" i="9" s="1"/>
  <c r="A42" i="9"/>
  <c r="A66" i="9" s="1"/>
  <c r="A43" i="9"/>
  <c r="A67" i="9" s="1"/>
  <c r="A44" i="9"/>
  <c r="A68" i="9" s="1"/>
  <c r="A45" i="9"/>
  <c r="A69" i="9" s="1"/>
  <c r="A46" i="9"/>
  <c r="A70" i="9" s="1"/>
  <c r="A47" i="9"/>
  <c r="A71" i="9" s="1"/>
  <c r="A48" i="9"/>
  <c r="A72" i="9" s="1"/>
  <c r="A49" i="9"/>
  <c r="A73" i="9" s="1"/>
  <c r="A35" i="9"/>
  <c r="A59" i="9" s="1"/>
  <c r="O19" i="9"/>
  <c r="S18" i="9"/>
  <c r="K14" i="9" a="1"/>
  <c r="K14" i="9" s="1"/>
  <c r="L16" i="9" s="1"/>
  <c r="P20" i="9" s="1"/>
  <c r="I14" i="9"/>
  <c r="H14" i="9"/>
  <c r="O20" i="9" s="1"/>
  <c r="I112" i="9" l="1"/>
  <c r="I108" i="9"/>
  <c r="I109" i="9"/>
  <c r="I111" i="9"/>
  <c r="I104" i="9"/>
  <c r="H104" i="9" s="1"/>
  <c r="I106" i="9"/>
  <c r="H106" i="9" s="1"/>
  <c r="I110" i="9"/>
  <c r="H110" i="9" s="1"/>
  <c r="I107" i="9"/>
  <c r="Q20" i="9"/>
  <c r="P5" i="9" a="1"/>
  <c r="P5" i="9" s="1"/>
  <c r="H111" i="9" l="1"/>
  <c r="H112" i="9" s="1"/>
  <c r="H107" i="9"/>
  <c r="H108" i="9" s="1"/>
  <c r="H109" i="9" s="1"/>
  <c r="P7" i="9"/>
  <c r="R6" i="9"/>
  <c r="P6" i="9"/>
  <c r="Q5" i="9"/>
  <c r="Q7" i="9"/>
  <c r="Q6" i="9"/>
  <c r="R5" i="9"/>
  <c r="R7" i="9"/>
  <c r="L5" i="9" l="1" a="1"/>
  <c r="N7" i="9" s="1"/>
  <c r="X110" i="8"/>
  <c r="G101" i="8" a="1"/>
  <c r="G101" i="8" s="1"/>
  <c r="O101" i="8" s="1"/>
  <c r="J99" i="8"/>
  <c r="G103" i="8" s="1" a="1"/>
  <c r="G103" i="8" s="1"/>
  <c r="Q103" i="8" s="1"/>
  <c r="J100" i="8"/>
  <c r="J98" i="8"/>
  <c r="G100" i="8" s="1" a="1"/>
  <c r="G100" i="8" s="1"/>
  <c r="N100" i="8" s="1"/>
  <c r="S92" i="8"/>
  <c r="C72" i="8"/>
  <c r="E72" i="8" s="1"/>
  <c r="D72" i="8"/>
  <c r="C73" i="8"/>
  <c r="E73" i="8" s="1"/>
  <c r="D73" i="8"/>
  <c r="F73" i="8" s="1"/>
  <c r="C74" i="8"/>
  <c r="E74" i="8" s="1"/>
  <c r="D74" i="8"/>
  <c r="F74" i="8" s="1"/>
  <c r="C75" i="8"/>
  <c r="E75" i="8" s="1"/>
  <c r="D75" i="8"/>
  <c r="F75" i="8" s="1"/>
  <c r="C76" i="8"/>
  <c r="E76" i="8" s="1"/>
  <c r="D76" i="8"/>
  <c r="C77" i="8"/>
  <c r="D77" i="8"/>
  <c r="F77" i="8" s="1"/>
  <c r="C78" i="8"/>
  <c r="E78" i="8" s="1"/>
  <c r="D78" i="8"/>
  <c r="F78" i="8" s="1"/>
  <c r="D71" i="8"/>
  <c r="F71" i="8" s="1"/>
  <c r="C71" i="8"/>
  <c r="F72" i="8"/>
  <c r="F76" i="8"/>
  <c r="E77" i="8"/>
  <c r="J63" i="8"/>
  <c r="F44" i="8" a="1"/>
  <c r="F44" i="8" s="1"/>
  <c r="L92" i="8" l="1"/>
  <c r="G105" i="8" a="1"/>
  <c r="G105" i="8" s="1"/>
  <c r="S105" i="8" s="1"/>
  <c r="G99" i="8" a="1"/>
  <c r="G99" i="8" s="1"/>
  <c r="M99" i="8" s="1"/>
  <c r="G104" i="8" a="1"/>
  <c r="G104" i="8" s="1"/>
  <c r="R104" i="8" s="1"/>
  <c r="E71" i="8"/>
  <c r="G102" i="8" a="1"/>
  <c r="G102" i="8" s="1"/>
  <c r="P102" i="8" s="1"/>
  <c r="G98" i="8" a="1"/>
  <c r="G98" i="8" s="1"/>
  <c r="L98" i="8" s="1"/>
  <c r="L109" i="8" s="1" a="1"/>
  <c r="L109" i="8" s="1"/>
  <c r="M5" i="9"/>
  <c r="N6" i="9"/>
  <c r="M7" i="9"/>
  <c r="N5" i="9"/>
  <c r="L6" i="9"/>
  <c r="L7" i="9"/>
  <c r="M6" i="9"/>
  <c r="L5" i="9"/>
  <c r="I9" i="9" s="1" a="1"/>
  <c r="G77" i="8"/>
  <c r="G76" i="8"/>
  <c r="G72" i="8"/>
  <c r="G75" i="8"/>
  <c r="G78" i="8"/>
  <c r="G74" i="8"/>
  <c r="G73" i="8"/>
  <c r="F45" i="8"/>
  <c r="F46" i="8"/>
  <c r="G46" i="8"/>
  <c r="H44" i="8"/>
  <c r="G44" i="8"/>
  <c r="H45" i="8"/>
  <c r="G45" i="8"/>
  <c r="H46" i="8"/>
  <c r="L114" i="8" l="1"/>
  <c r="R114" i="8"/>
  <c r="M115" i="8"/>
  <c r="Q116" i="8"/>
  <c r="N111" i="8"/>
  <c r="O110" i="8"/>
  <c r="P112" i="8"/>
  <c r="S115" i="8"/>
  <c r="L113" i="8"/>
  <c r="Q115" i="8"/>
  <c r="S114" i="8"/>
  <c r="L115" i="8"/>
  <c r="M116" i="8"/>
  <c r="R111" i="8"/>
  <c r="O111" i="8"/>
  <c r="S116" i="8"/>
  <c r="L116" i="8"/>
  <c r="M109" i="8"/>
  <c r="P111" i="8"/>
  <c r="R113" i="8"/>
  <c r="N113" i="8"/>
  <c r="O112" i="8"/>
  <c r="Q111" i="8"/>
  <c r="S111" i="8"/>
  <c r="P110" i="8"/>
  <c r="M110" i="8"/>
  <c r="P113" i="8"/>
  <c r="R116" i="8"/>
  <c r="N114" i="8"/>
  <c r="O113" i="8"/>
  <c r="R110" i="8"/>
  <c r="R109" i="8"/>
  <c r="U103" i="8" s="1" a="1"/>
  <c r="M114" i="8"/>
  <c r="N110" i="8"/>
  <c r="O109" i="8"/>
  <c r="P109" i="8"/>
  <c r="U98" i="8" s="1" a="1"/>
  <c r="S113" i="8"/>
  <c r="N112" i="8"/>
  <c r="P115" i="8"/>
  <c r="L110" i="8"/>
  <c r="P114" i="8"/>
  <c r="M111" i="8"/>
  <c r="P116" i="8"/>
  <c r="S109" i="8"/>
  <c r="N115" i="8"/>
  <c r="O114" i="8"/>
  <c r="R112" i="8"/>
  <c r="G71" i="8"/>
  <c r="I77" i="8" s="1" a="1"/>
  <c r="L111" i="8"/>
  <c r="Q109" i="8"/>
  <c r="M112" i="8"/>
  <c r="Q110" i="8"/>
  <c r="S112" i="8"/>
  <c r="N116" i="8"/>
  <c r="O115" i="8"/>
  <c r="R115" i="8"/>
  <c r="L112" i="8"/>
  <c r="Q113" i="8"/>
  <c r="M113" i="8"/>
  <c r="Q112" i="8"/>
  <c r="N109" i="8"/>
  <c r="Q114" i="8"/>
  <c r="O116" i="8"/>
  <c r="S110" i="8"/>
  <c r="I9" i="9"/>
  <c r="I10" i="9"/>
  <c r="I11" i="9"/>
  <c r="J44" i="8" a="1"/>
  <c r="L44" i="8" s="1"/>
  <c r="U98" i="8" l="1"/>
  <c r="W98" i="8"/>
  <c r="V98" i="8"/>
  <c r="V100" i="8"/>
  <c r="U99" i="8"/>
  <c r="W100" i="8"/>
  <c r="U100" i="8"/>
  <c r="W99" i="8"/>
  <c r="V99" i="8"/>
  <c r="I77" i="8"/>
  <c r="M81" i="8"/>
  <c r="K81" i="8"/>
  <c r="I81" i="8"/>
  <c r="M80" i="8"/>
  <c r="K77" i="8"/>
  <c r="K80" i="8"/>
  <c r="I80" i="8"/>
  <c r="M79" i="8"/>
  <c r="K79" i="8"/>
  <c r="J77" i="8"/>
  <c r="N79" i="8"/>
  <c r="I79" i="8"/>
  <c r="M78" i="8"/>
  <c r="K78" i="8"/>
  <c r="N81" i="8"/>
  <c r="N82" i="8"/>
  <c r="L82" i="8"/>
  <c r="J82" i="8"/>
  <c r="L80" i="8"/>
  <c r="N80" i="8"/>
  <c r="J80" i="8"/>
  <c r="N77" i="8"/>
  <c r="I78" i="8"/>
  <c r="K82" i="8"/>
  <c r="L77" i="8"/>
  <c r="L81" i="8"/>
  <c r="J81" i="8"/>
  <c r="J79" i="8"/>
  <c r="L79" i="8"/>
  <c r="M82" i="8"/>
  <c r="I82" i="8"/>
  <c r="N78" i="8"/>
  <c r="L78" i="8"/>
  <c r="J78" i="8"/>
  <c r="M77" i="8"/>
  <c r="U103" i="8"/>
  <c r="U105" i="8"/>
  <c r="U104" i="8"/>
  <c r="L14" i="9" a="1"/>
  <c r="L14" i="9" s="1"/>
  <c r="F3" i="9" a="1"/>
  <c r="F3" i="9" s="1"/>
  <c r="B36" i="9" s="1"/>
  <c r="B81" i="9" s="1"/>
  <c r="F10" i="9" a="1"/>
  <c r="F10" i="9" s="1"/>
  <c r="B43" i="9" s="1"/>
  <c r="F2" i="9" a="1"/>
  <c r="F2" i="9" s="1"/>
  <c r="F11" i="9" a="1"/>
  <c r="F11" i="9" s="1"/>
  <c r="B44" i="9" s="1"/>
  <c r="F8" i="9" a="1"/>
  <c r="F8" i="9" s="1"/>
  <c r="B41" i="9" s="1"/>
  <c r="F15" i="9" a="1"/>
  <c r="F15" i="9" s="1"/>
  <c r="B48" i="9" s="1"/>
  <c r="F16" i="9" a="1"/>
  <c r="F16" i="9" s="1"/>
  <c r="B49" i="9" s="1"/>
  <c r="B94" i="9" s="1"/>
  <c r="F4" i="9" a="1"/>
  <c r="F4" i="9" s="1"/>
  <c r="B37" i="9" s="1"/>
  <c r="F6" i="9" a="1"/>
  <c r="F6" i="9" s="1"/>
  <c r="B39" i="9" s="1"/>
  <c r="F14" i="9" a="1"/>
  <c r="F14" i="9" s="1"/>
  <c r="B47" i="9" s="1"/>
  <c r="F5" i="9" a="1"/>
  <c r="F5" i="9" s="1"/>
  <c r="B38" i="9" s="1"/>
  <c r="F12" i="9" a="1"/>
  <c r="F12" i="9" s="1"/>
  <c r="B45" i="9" s="1"/>
  <c r="F13" i="9" a="1"/>
  <c r="F13" i="9" s="1"/>
  <c r="B46" i="9" s="1"/>
  <c r="F7" i="9" a="1"/>
  <c r="F7" i="9" s="1"/>
  <c r="B40" i="9" s="1"/>
  <c r="F9" i="9" a="1"/>
  <c r="F9" i="9" s="1"/>
  <c r="B42" i="9" s="1"/>
  <c r="K46" i="8"/>
  <c r="L45" i="8"/>
  <c r="L46" i="8"/>
  <c r="K44" i="8"/>
  <c r="J46" i="8"/>
  <c r="J44" i="8"/>
  <c r="J45" i="8"/>
  <c r="K45" i="8"/>
  <c r="D40" i="9" l="1"/>
  <c r="B84" i="9"/>
  <c r="G82" i="9"/>
  <c r="H83" i="9"/>
  <c r="P77" i="8" a="1"/>
  <c r="D38" i="9"/>
  <c r="B62" i="9" s="1"/>
  <c r="B82" i="9"/>
  <c r="X103" i="8" a="1"/>
  <c r="D43" i="9"/>
  <c r="B87" i="9"/>
  <c r="D41" i="9"/>
  <c r="B85" i="9"/>
  <c r="D49" i="9"/>
  <c r="B93" i="9"/>
  <c r="G94" i="9" s="1"/>
  <c r="D47" i="9"/>
  <c r="B71" i="9" s="1"/>
  <c r="B91" i="9"/>
  <c r="D42" i="9"/>
  <c r="B86" i="9"/>
  <c r="D46" i="9"/>
  <c r="B90" i="9"/>
  <c r="D45" i="9"/>
  <c r="B89" i="9"/>
  <c r="D39" i="9"/>
  <c r="B63" i="9" s="1"/>
  <c r="B83" i="9"/>
  <c r="B35" i="9"/>
  <c r="D36" i="9" s="1"/>
  <c r="B80" i="9"/>
  <c r="D48" i="9"/>
  <c r="B92" i="9"/>
  <c r="D44" i="9"/>
  <c r="B88" i="9"/>
  <c r="D37" i="9"/>
  <c r="K41" i="9" a="1"/>
  <c r="B66" i="9"/>
  <c r="B73" i="9"/>
  <c r="B64" i="9"/>
  <c r="B72" i="9"/>
  <c r="B70" i="9"/>
  <c r="B65" i="9"/>
  <c r="B68" i="9"/>
  <c r="B69" i="9"/>
  <c r="B67" i="9"/>
  <c r="B60" i="9"/>
  <c r="H44" i="9"/>
  <c r="K45" i="9" s="1"/>
  <c r="M38" i="9" a="1"/>
  <c r="B61" i="9"/>
  <c r="L18" i="9"/>
  <c r="P19" i="9" s="1"/>
  <c r="Q19" i="9" s="1"/>
  <c r="L21" i="9" s="1"/>
  <c r="L17" i="9"/>
  <c r="K41" i="9" l="1"/>
  <c r="G83" i="9"/>
  <c r="H84" i="9"/>
  <c r="H91" i="9"/>
  <c r="G90" i="9"/>
  <c r="B57" i="9" a="1"/>
  <c r="B57" i="9" s="1"/>
  <c r="H94" i="9"/>
  <c r="G93" i="9"/>
  <c r="G91" i="9"/>
  <c r="H92" i="9"/>
  <c r="H87" i="9"/>
  <c r="G86" i="9"/>
  <c r="H85" i="9"/>
  <c r="G84" i="9"/>
  <c r="H93" i="9"/>
  <c r="G92" i="9"/>
  <c r="X103" i="8"/>
  <c r="X109" i="8" s="1" a="1"/>
  <c r="X109" i="8" s="1"/>
  <c r="X111" i="8" s="1"/>
  <c r="X105" i="8"/>
  <c r="X104" i="8"/>
  <c r="P77" i="8"/>
  <c r="S81" i="8"/>
  <c r="R82" i="8"/>
  <c r="R78" i="8"/>
  <c r="P79" i="8"/>
  <c r="Q80" i="8"/>
  <c r="P78" i="8"/>
  <c r="T77" i="8"/>
  <c r="S79" i="8"/>
  <c r="P81" i="8"/>
  <c r="U78" i="8"/>
  <c r="S78" i="8"/>
  <c r="Q79" i="8"/>
  <c r="U77" i="8"/>
  <c r="S80" i="8"/>
  <c r="S77" i="8"/>
  <c r="R77" i="8"/>
  <c r="Q77" i="8"/>
  <c r="Q81" i="8"/>
  <c r="U81" i="8"/>
  <c r="R79" i="8"/>
  <c r="S82" i="8"/>
  <c r="R80" i="8"/>
  <c r="U80" i="8"/>
  <c r="U82" i="8"/>
  <c r="U79" i="8"/>
  <c r="T80" i="8"/>
  <c r="R81" i="8"/>
  <c r="T78" i="8"/>
  <c r="T82" i="8"/>
  <c r="P82" i="8"/>
  <c r="Q82" i="8"/>
  <c r="T79" i="8"/>
  <c r="P80" i="8"/>
  <c r="T81" i="8"/>
  <c r="Q78" i="8"/>
  <c r="G89" i="9"/>
  <c r="H90" i="9"/>
  <c r="H82" i="9"/>
  <c r="G81" i="9"/>
  <c r="H88" i="9"/>
  <c r="G87" i="9"/>
  <c r="G88" i="9"/>
  <c r="H89" i="9"/>
  <c r="H86" i="9"/>
  <c r="G85" i="9"/>
  <c r="G38" i="9" a="1"/>
  <c r="G38" i="9" s="1"/>
  <c r="M38" i="9"/>
  <c r="N39" i="9"/>
  <c r="M39" i="9"/>
  <c r="N38" i="9"/>
  <c r="B56" i="9"/>
  <c r="C127" i="9" s="1"/>
  <c r="P18" i="9"/>
  <c r="Q18" i="9" s="1"/>
  <c r="R18" i="9" s="1"/>
  <c r="L19" i="9"/>
  <c r="L20" i="9"/>
  <c r="K14" i="8" a="1"/>
  <c r="K14" i="8" s="1"/>
  <c r="I14" i="8"/>
  <c r="H14" i="8"/>
  <c r="L20" i="8" s="1"/>
  <c r="B143" i="9" l="1" a="1"/>
  <c r="F143" i="9" a="1"/>
  <c r="H39" i="9"/>
  <c r="H38" i="9"/>
  <c r="G39" i="9"/>
  <c r="I16" i="8"/>
  <c r="M20" i="8" s="1"/>
  <c r="N20" i="8" s="1"/>
  <c r="L19" i="8"/>
  <c r="P18" i="8" s="1"/>
  <c r="H9" i="8" a="1"/>
  <c r="H9" i="8" s="1"/>
  <c r="H5" i="8" a="1"/>
  <c r="H5" i="8" s="1"/>
  <c r="F143" i="9" l="1"/>
  <c r="F144" i="9"/>
  <c r="F145" i="9"/>
  <c r="B143" i="9"/>
  <c r="C145" i="9"/>
  <c r="B145" i="9"/>
  <c r="C144" i="9"/>
  <c r="D143" i="9"/>
  <c r="C143" i="9"/>
  <c r="D144" i="9"/>
  <c r="B144" i="9"/>
  <c r="D145" i="9"/>
  <c r="J38" i="9" a="1"/>
  <c r="J38" i="9" s="1"/>
  <c r="I11" i="8"/>
  <c r="H11" i="8"/>
  <c r="J10" i="8"/>
  <c r="I10" i="8"/>
  <c r="H10" i="8"/>
  <c r="J9" i="8"/>
  <c r="I9" i="8"/>
  <c r="J11" i="8"/>
  <c r="H7" i="8"/>
  <c r="J6" i="8"/>
  <c r="I6" i="8"/>
  <c r="H6" i="8"/>
  <c r="J5" i="8"/>
  <c r="I5" i="8"/>
  <c r="I7" i="8"/>
  <c r="J7" i="8"/>
  <c r="L78" i="7" a="1"/>
  <c r="L78" i="7" s="1"/>
  <c r="J78" i="7"/>
  <c r="I78" i="7"/>
  <c r="K85" i="7" s="1"/>
  <c r="N73" i="7" a="1"/>
  <c r="P73" i="7" s="1"/>
  <c r="L5" i="8" l="1" a="1"/>
  <c r="N5" i="8" s="1"/>
  <c r="I143" i="9" a="1"/>
  <c r="K39" i="9"/>
  <c r="J39" i="9"/>
  <c r="K38" i="9"/>
  <c r="H41" i="9" a="1"/>
  <c r="N7" i="8"/>
  <c r="M7" i="8"/>
  <c r="N6" i="8"/>
  <c r="M6" i="8"/>
  <c r="G81" i="7"/>
  <c r="L85" i="7" s="1"/>
  <c r="M85" i="7" s="1"/>
  <c r="N74" i="7"/>
  <c r="K84" i="7"/>
  <c r="O83" i="7" s="1"/>
  <c r="O74" i="7"/>
  <c r="O75" i="7"/>
  <c r="N73" i="7"/>
  <c r="P75" i="7"/>
  <c r="O73" i="7"/>
  <c r="P74" i="7"/>
  <c r="N75" i="7"/>
  <c r="D71" i="7"/>
  <c r="D72" i="7"/>
  <c r="D73" i="7"/>
  <c r="D74" i="7"/>
  <c r="D75" i="7"/>
  <c r="D76" i="7"/>
  <c r="D77" i="7"/>
  <c r="D78" i="7"/>
  <c r="D79" i="7"/>
  <c r="D70" i="7"/>
  <c r="K58" i="7" a="1"/>
  <c r="K58" i="7" s="1"/>
  <c r="K37" i="7" a="1"/>
  <c r="K37" i="7" s="1"/>
  <c r="I58" i="7"/>
  <c r="H58" i="7"/>
  <c r="I37" i="7"/>
  <c r="H37" i="7"/>
  <c r="I145" i="9" l="1"/>
  <c r="I143" i="9"/>
  <c r="I144" i="9"/>
  <c r="L6" i="8"/>
  <c r="L7" i="8"/>
  <c r="L5" i="8"/>
  <c r="M5" i="8"/>
  <c r="M9" i="8" s="1" a="1"/>
  <c r="M10" i="8" s="1"/>
  <c r="H41" i="9"/>
  <c r="H42" i="9"/>
  <c r="F73" i="7" a="1"/>
  <c r="F60" i="7"/>
  <c r="F39" i="7"/>
  <c r="K54" i="7" a="1"/>
  <c r="K54" i="7" s="1"/>
  <c r="E54" i="7" a="1"/>
  <c r="F54" i="7" s="1"/>
  <c r="K33" i="7" a="1"/>
  <c r="L33" i="7" s="1"/>
  <c r="E33" i="7" a="1"/>
  <c r="E33" i="7" s="1"/>
  <c r="L10" i="7" a="1"/>
  <c r="L10" i="7" s="1"/>
  <c r="J10" i="7"/>
  <c r="I10" i="7"/>
  <c r="K17" i="7" s="1"/>
  <c r="M9" i="8" l="1"/>
  <c r="M11" i="8"/>
  <c r="L14" i="8" s="1" a="1"/>
  <c r="L14" i="8" s="1"/>
  <c r="E42" i="9"/>
  <c r="E41" i="9"/>
  <c r="E48" i="9"/>
  <c r="E49" i="9"/>
  <c r="E40" i="9"/>
  <c r="E38" i="9"/>
  <c r="E39" i="9"/>
  <c r="E43" i="9"/>
  <c r="E46" i="9"/>
  <c r="E45" i="9"/>
  <c r="E47" i="9"/>
  <c r="E37" i="9"/>
  <c r="E36" i="9"/>
  <c r="E44" i="9"/>
  <c r="E2" i="8" a="1"/>
  <c r="E2" i="8" s="1"/>
  <c r="F2" i="8" s="1"/>
  <c r="E3" i="8" a="1"/>
  <c r="E3" i="8" s="1"/>
  <c r="F3" i="8" s="1"/>
  <c r="E4" i="8" a="1"/>
  <c r="E4" i="8" s="1"/>
  <c r="F4" i="8" s="1"/>
  <c r="E5" i="8" a="1"/>
  <c r="E5" i="8" s="1"/>
  <c r="F5" i="8" s="1"/>
  <c r="E7" i="8" a="1"/>
  <c r="E7" i="8" s="1"/>
  <c r="F7" i="8" s="1"/>
  <c r="E6" i="8" a="1"/>
  <c r="E6" i="8" s="1"/>
  <c r="F6" i="8" s="1"/>
  <c r="E8" i="8" a="1"/>
  <c r="E8" i="8" s="1"/>
  <c r="F8" i="8" s="1"/>
  <c r="F73" i="7"/>
  <c r="F75" i="7"/>
  <c r="H73" i="7"/>
  <c r="G73" i="7"/>
  <c r="G75" i="7"/>
  <c r="H74" i="7"/>
  <c r="H75" i="7"/>
  <c r="G74" i="7"/>
  <c r="F74" i="7"/>
  <c r="L55" i="7"/>
  <c r="K55" i="7"/>
  <c r="L54" i="7"/>
  <c r="E54" i="7"/>
  <c r="F55" i="7"/>
  <c r="E55" i="7"/>
  <c r="K33" i="7"/>
  <c r="L34" i="7"/>
  <c r="K34" i="7"/>
  <c r="E34" i="7"/>
  <c r="F33" i="7"/>
  <c r="F34" i="7"/>
  <c r="G13" i="7"/>
  <c r="K16" i="7"/>
  <c r="N5" i="7" a="1"/>
  <c r="N5" i="7" s="1"/>
  <c r="I17" i="8" l="1"/>
  <c r="I18" i="8"/>
  <c r="M19" i="8" s="1"/>
  <c r="N19" i="8" s="1"/>
  <c r="A45" i="8"/>
  <c r="A75" i="8"/>
  <c r="A46" i="8"/>
  <c r="A76" i="8"/>
  <c r="A44" i="8"/>
  <c r="A74" i="8"/>
  <c r="A43" i="8"/>
  <c r="A73" i="8"/>
  <c r="A42" i="8"/>
  <c r="A72" i="8"/>
  <c r="A47" i="8"/>
  <c r="A77" i="8"/>
  <c r="A41" i="8"/>
  <c r="A71" i="8"/>
  <c r="E9" i="8" a="1"/>
  <c r="E9" i="8" s="1"/>
  <c r="F9" i="8" s="1"/>
  <c r="E102" i="8" a="1"/>
  <c r="E102" i="8" s="1"/>
  <c r="F102" i="8" s="1"/>
  <c r="E101" i="8" a="1"/>
  <c r="E101" i="8" s="1"/>
  <c r="F101" i="8" s="1"/>
  <c r="E99" i="8" a="1"/>
  <c r="E99" i="8" s="1"/>
  <c r="F99" i="8" s="1"/>
  <c r="E105" i="8" a="1"/>
  <c r="E105" i="8" s="1"/>
  <c r="F105" i="8" s="1"/>
  <c r="E98" i="8" a="1"/>
  <c r="E98" i="8" s="1"/>
  <c r="F98" i="8" s="1"/>
  <c r="E100" i="8" a="1"/>
  <c r="E100" i="8" s="1"/>
  <c r="F100" i="8" s="1"/>
  <c r="E104" i="8" a="1"/>
  <c r="E104" i="8" s="1"/>
  <c r="F104" i="8" s="1"/>
  <c r="E103" i="8" a="1"/>
  <c r="E103" i="8" s="1"/>
  <c r="F103" i="8" s="1"/>
  <c r="K42" i="9" a="1"/>
  <c r="K42" i="9" s="1"/>
  <c r="I21" i="8"/>
  <c r="M18" i="8"/>
  <c r="N18" i="8" s="1"/>
  <c r="O18" i="8" s="1"/>
  <c r="I20" i="8"/>
  <c r="I19" i="8"/>
  <c r="J73" i="7" a="1"/>
  <c r="H54" i="7" a="1"/>
  <c r="H54" i="7" s="1"/>
  <c r="H33" i="7" a="1"/>
  <c r="I33" i="7" s="1"/>
  <c r="O15" i="7"/>
  <c r="K27" i="7"/>
  <c r="L17" i="7"/>
  <c r="M17" i="7" s="1"/>
  <c r="O7" i="7"/>
  <c r="N7" i="7"/>
  <c r="P6" i="7"/>
  <c r="O6" i="7"/>
  <c r="N6" i="7"/>
  <c r="P5" i="7"/>
  <c r="O5" i="7"/>
  <c r="P7" i="7"/>
  <c r="A48" i="8" l="1"/>
  <c r="F48" i="8" s="1" a="1"/>
  <c r="H49" i="8" s="1"/>
  <c r="A78" i="8"/>
  <c r="O92" i="8" a="1"/>
  <c r="O92" i="8" s="1"/>
  <c r="J91" i="8" s="1"/>
  <c r="M92" i="8"/>
  <c r="I84" i="8" a="1"/>
  <c r="I53" i="8" a="1"/>
  <c r="I53" i="8" s="1"/>
  <c r="K43" i="9" a="1"/>
  <c r="K43" i="9" s="1"/>
  <c r="K44" i="9" s="1"/>
  <c r="F50" i="8"/>
  <c r="G50" i="8"/>
  <c r="K74" i="7"/>
  <c r="L74" i="7"/>
  <c r="J75" i="7"/>
  <c r="J74" i="7"/>
  <c r="K73" i="7"/>
  <c r="J73" i="7"/>
  <c r="L73" i="7"/>
  <c r="L75" i="7"/>
  <c r="K75" i="7"/>
  <c r="I34" i="7"/>
  <c r="H34" i="7"/>
  <c r="H33" i="7"/>
  <c r="I55" i="7"/>
  <c r="H55" i="7"/>
  <c r="I54" i="7"/>
  <c r="F57" i="7" l="1" a="1"/>
  <c r="F53" i="8"/>
  <c r="J84" i="8"/>
  <c r="K87" i="8"/>
  <c r="J86" i="8"/>
  <c r="M86" i="8"/>
  <c r="N89" i="8"/>
  <c r="I86" i="8"/>
  <c r="L88" i="8"/>
  <c r="J85" i="8"/>
  <c r="J87" i="8"/>
  <c r="J89" i="8"/>
  <c r="M84" i="8"/>
  <c r="L84" i="8"/>
  <c r="I89" i="8"/>
  <c r="N85" i="8"/>
  <c r="K89" i="8"/>
  <c r="M89" i="8"/>
  <c r="M87" i="8"/>
  <c r="L89" i="8"/>
  <c r="K85" i="8"/>
  <c r="N88" i="8"/>
  <c r="M88" i="8"/>
  <c r="K84" i="8"/>
  <c r="I88" i="8"/>
  <c r="I84" i="8"/>
  <c r="K88" i="8"/>
  <c r="I85" i="8"/>
  <c r="J88" i="8"/>
  <c r="I87" i="8"/>
  <c r="N86" i="8"/>
  <c r="K86" i="8"/>
  <c r="N84" i="8"/>
  <c r="N87" i="8"/>
  <c r="L86" i="8"/>
  <c r="M85" i="8"/>
  <c r="L87" i="8"/>
  <c r="L85" i="8"/>
  <c r="H50" i="8"/>
  <c r="G48" i="8"/>
  <c r="G77" i="7" a="1"/>
  <c r="H48" i="8"/>
  <c r="F49" i="8"/>
  <c r="F48" i="8"/>
  <c r="K48" i="8" s="1" a="1"/>
  <c r="F36" i="7" a="1"/>
  <c r="F36" i="7" s="1"/>
  <c r="G49" i="8"/>
  <c r="G53" i="8"/>
  <c r="H53" i="8"/>
  <c r="G64" i="8" s="1"/>
  <c r="G65" i="8" s="1"/>
  <c r="J62" i="8" s="1"/>
  <c r="G77" i="7"/>
  <c r="G79" i="7"/>
  <c r="G78" i="7"/>
  <c r="F57" i="7"/>
  <c r="F58" i="7"/>
  <c r="Q84" i="8" l="1" a="1"/>
  <c r="J58" i="8"/>
  <c r="N57" i="8" s="1"/>
  <c r="J59" i="8"/>
  <c r="F37" i="7"/>
  <c r="L37" i="7" s="1" a="1"/>
  <c r="L37" i="7" s="1"/>
  <c r="G55" i="8"/>
  <c r="K59" i="8" s="1"/>
  <c r="L59" i="8" s="1"/>
  <c r="K48" i="8"/>
  <c r="K49" i="8"/>
  <c r="K50" i="8"/>
  <c r="M78" i="7" a="1"/>
  <c r="M78" i="7" s="1"/>
  <c r="L58" i="7" a="1"/>
  <c r="L58" i="7" s="1"/>
  <c r="F5" i="7" a="1"/>
  <c r="F5" i="7" s="1"/>
  <c r="Q84" i="8" l="1"/>
  <c r="Q86" i="8"/>
  <c r="Q87" i="8"/>
  <c r="Q85" i="8"/>
  <c r="Q89" i="8"/>
  <c r="Q88" i="8"/>
  <c r="J53" i="8" a="1"/>
  <c r="J53" i="8" s="1"/>
  <c r="G56" i="8" s="1"/>
  <c r="G82" i="7"/>
  <c r="G83" i="7"/>
  <c r="L84" i="7" s="1"/>
  <c r="M84" i="7" s="1"/>
  <c r="G86" i="7" s="1"/>
  <c r="F61" i="7"/>
  <c r="F64" i="7" s="1"/>
  <c r="F66" i="7" s="1"/>
  <c r="F62" i="7"/>
  <c r="F63" i="7" s="1"/>
  <c r="F40" i="7"/>
  <c r="F41" i="7"/>
  <c r="F7" i="7"/>
  <c r="H6" i="7"/>
  <c r="G6" i="7"/>
  <c r="F6" i="7"/>
  <c r="H5" i="7"/>
  <c r="G5" i="7"/>
  <c r="G7" i="7"/>
  <c r="H7" i="7"/>
  <c r="P92" i="8" l="1" a="1"/>
  <c r="P92" i="8" s="1"/>
  <c r="J92" i="8" s="1"/>
  <c r="J93" i="8" s="1"/>
  <c r="S91" i="8" s="1"/>
  <c r="G57" i="8"/>
  <c r="K58" i="8" s="1"/>
  <c r="L58" i="8" s="1"/>
  <c r="G60" i="8" s="1"/>
  <c r="G59" i="8"/>
  <c r="K57" i="8"/>
  <c r="L57" i="8" s="1"/>
  <c r="G58" i="8"/>
  <c r="G84" i="7"/>
  <c r="G85" i="7"/>
  <c r="L83" i="7"/>
  <c r="M83" i="7" s="1"/>
  <c r="N83" i="7" s="1"/>
  <c r="F43" i="7"/>
  <c r="F45" i="7" s="1"/>
  <c r="F42" i="7"/>
  <c r="J5" i="7" a="1"/>
  <c r="J5" i="7" s="1"/>
  <c r="M57" i="8" l="1"/>
  <c r="K5" i="7"/>
  <c r="L5" i="7"/>
  <c r="J6" i="7"/>
  <c r="K6" i="7"/>
  <c r="L6" i="7"/>
  <c r="J7" i="7"/>
  <c r="K7" i="7"/>
  <c r="L7" i="7"/>
  <c r="G9" i="7" l="1" a="1"/>
  <c r="G9" i="7" l="1"/>
  <c r="G10" i="7"/>
  <c r="G11" i="7"/>
  <c r="M10" i="7" l="1" a="1"/>
  <c r="M10" i="7" s="1"/>
  <c r="G14" i="7" l="1"/>
  <c r="G20" i="7" s="1"/>
  <c r="G15" i="7"/>
  <c r="L16" i="7" s="1"/>
  <c r="M16" i="7" s="1"/>
  <c r="G18" i="7" s="1"/>
  <c r="G17" i="7" l="1"/>
  <c r="G16" i="7"/>
  <c r="J20" i="7" a="1"/>
  <c r="L15" i="7"/>
  <c r="M15" i="7" s="1"/>
  <c r="N15" i="7" s="1"/>
  <c r="K20" i="7" l="1"/>
  <c r="L20" i="7"/>
  <c r="J20" i="7"/>
  <c r="K26" i="7" s="1"/>
  <c r="K22" i="7"/>
  <c r="J22" i="7"/>
  <c r="L22" i="7"/>
  <c r="M26" i="7" s="1"/>
  <c r="L21" i="7"/>
  <c r="K21" i="7"/>
  <c r="L26" i="7" s="1"/>
  <c r="J21" i="7"/>
</calcChain>
</file>

<file path=xl/sharedStrings.xml><?xml version="1.0" encoding="utf-8"?>
<sst xmlns="http://schemas.openxmlformats.org/spreadsheetml/2006/main" count="973" uniqueCount="248">
  <si>
    <r>
      <rPr>
        <b/>
        <sz val="16"/>
        <color theme="1"/>
        <rFont val="Calibri"/>
        <family val="2"/>
        <scheme val="minor"/>
      </rPr>
      <t>Escola Superior de Administração, Marketing e Comunicação (ESAMC)</t>
    </r>
    <r>
      <rPr>
        <b/>
        <sz val="14"/>
        <color theme="1"/>
        <rFont val="Calibri"/>
        <family val="2"/>
        <scheme val="minor"/>
      </rPr>
      <t xml:space="preserve">
10175/A - Econometria   -   1º Sem. de 2021   -   Prof. Pier Francesco De Maria</t>
    </r>
  </si>
  <si>
    <r>
      <rPr>
        <b/>
        <sz val="13"/>
        <color rgb="FFFF0000"/>
        <rFont val="Calibri"/>
        <family val="2"/>
        <scheme val="minor"/>
      </rPr>
      <t>Prova 2 / Parte 1</t>
    </r>
    <r>
      <rPr>
        <sz val="13"/>
        <color rgb="FFFF0000"/>
        <rFont val="Calibri"/>
        <family val="2"/>
        <scheme val="minor"/>
      </rPr>
      <t xml:space="preserve"> (Multicolinearidade)</t>
    </r>
  </si>
  <si>
    <t>Insira seu nome e RA abaixo</t>
  </si>
  <si>
    <r>
      <t>3) (2.00 pontos)</t>
    </r>
    <r>
      <rPr>
        <sz val="12"/>
        <color theme="1"/>
        <rFont val="Calibri"/>
        <family val="2"/>
        <scheme val="minor"/>
      </rPr>
      <t xml:space="preserve"> Avalie se, isoladamente, os coeficientes do modelo são significativos, por meio do teste-T.</t>
    </r>
  </si>
  <si>
    <r>
      <t>5) (1.50 pontos)</t>
    </r>
    <r>
      <rPr>
        <sz val="12"/>
        <color theme="1"/>
        <rFont val="Calibri"/>
        <family val="2"/>
        <scheme val="minor"/>
      </rPr>
      <t xml:space="preserve"> Escolha </t>
    </r>
    <r>
      <rPr>
        <i/>
        <sz val="12"/>
        <color theme="1"/>
        <rFont val="Calibri"/>
        <family val="2"/>
        <scheme val="minor"/>
      </rPr>
      <t>sabiamente</t>
    </r>
    <r>
      <rPr>
        <sz val="12"/>
        <color theme="1"/>
        <rFont val="Calibri"/>
        <family val="2"/>
        <scheme val="minor"/>
      </rPr>
      <t xml:space="preserve"> uma variável para converter em logaritmo. Depois, re-faça e re-interprete o modelo por MQO.</t>
    </r>
  </si>
  <si>
    <r>
      <t>6) (1.00 pontos)</t>
    </r>
    <r>
      <rPr>
        <sz val="12"/>
        <color theme="1"/>
        <rFont val="Calibri"/>
        <family val="2"/>
        <scheme val="minor"/>
      </rPr>
      <t xml:space="preserve"> O que você sugere fazer, diante das evidências encontradas?</t>
    </r>
  </si>
  <si>
    <t>Y</t>
  </si>
  <si>
    <r>
      <t>X</t>
    </r>
    <r>
      <rPr>
        <b/>
        <vertAlign val="subscript"/>
        <sz val="12"/>
        <color theme="1"/>
        <rFont val="Calibri"/>
        <family val="2"/>
        <scheme val="minor"/>
      </rPr>
      <t>1</t>
    </r>
  </si>
  <si>
    <r>
      <t>X</t>
    </r>
    <r>
      <rPr>
        <b/>
        <vertAlign val="subscript"/>
        <sz val="12"/>
        <color theme="1"/>
        <rFont val="Calibri"/>
        <family val="2"/>
        <scheme val="minor"/>
      </rPr>
      <t>2</t>
    </r>
  </si>
  <si>
    <r>
      <rPr>
        <b/>
        <sz val="13"/>
        <color rgb="FFFF0000"/>
        <rFont val="Calibri"/>
        <family val="2"/>
        <scheme val="minor"/>
      </rPr>
      <t>Prova 2 / Parte 2</t>
    </r>
    <r>
      <rPr>
        <sz val="13"/>
        <color rgb="FFFF0000"/>
        <rFont val="Calibri"/>
        <family val="2"/>
        <scheme val="minor"/>
      </rPr>
      <t xml:space="preserve"> (Heterocedasticidade)</t>
    </r>
  </si>
  <si>
    <t>I</t>
  </si>
  <si>
    <t>V</t>
  </si>
  <si>
    <t>K</t>
  </si>
  <si>
    <t>Você recebeu os dados abaixo, relativos ao investimento de empresas (I, em US$ mi), seus valores em ações (V, em US$ mi) e o valor de capital da firma (K, em US$ mi). Faça o que é pedido abaixo, na ordem.</t>
  </si>
  <si>
    <t>Você recebeu os dados abaixo, relativos ao número de viagens de ônibus (Y, em milhares de passageiros por hora), à tarifa do ônibus (X1, em R$) e ao preço do litro da gasolina (X2, em R$). Faça o que é pedido abaixo, na ordem.</t>
  </si>
  <si>
    <r>
      <rPr>
        <b/>
        <sz val="12"/>
        <color theme="1"/>
        <rFont val="Calibri"/>
        <family val="2"/>
        <scheme val="minor"/>
      </rPr>
      <t xml:space="preserve">1) (2.00 pontos) </t>
    </r>
    <r>
      <rPr>
        <sz val="12"/>
        <color theme="1"/>
        <rFont val="Calibri"/>
        <family val="2"/>
        <scheme val="minor"/>
      </rPr>
      <t xml:space="preserve">Estime o modelo de regressão Y = </t>
    </r>
    <r>
      <rPr>
        <sz val="12"/>
        <color theme="1"/>
        <rFont val="Calibri"/>
        <family val="2"/>
      </rPr>
      <t>α</t>
    </r>
    <r>
      <rPr>
        <sz val="12"/>
        <color theme="1"/>
        <rFont val="Calibri"/>
        <family val="2"/>
        <scheme val="minor"/>
      </rPr>
      <t xml:space="preserve"> + β</t>
    </r>
    <r>
      <rPr>
        <vertAlign val="subscript"/>
        <sz val="12"/>
        <color theme="1"/>
        <rFont val="Calibri"/>
        <family val="2"/>
        <scheme val="minor"/>
      </rPr>
      <t>1</t>
    </r>
    <r>
      <rPr>
        <sz val="12"/>
        <color theme="1"/>
        <rFont val="Calibri"/>
        <family val="2"/>
        <scheme val="minor"/>
      </rPr>
      <t>X</t>
    </r>
    <r>
      <rPr>
        <vertAlign val="subscript"/>
        <sz val="12"/>
        <color theme="1"/>
        <rFont val="Calibri"/>
        <family val="2"/>
        <scheme val="minor"/>
      </rPr>
      <t>1</t>
    </r>
    <r>
      <rPr>
        <sz val="12"/>
        <color theme="1"/>
        <rFont val="Calibri"/>
        <family val="2"/>
        <scheme val="minor"/>
      </rPr>
      <t xml:space="preserve"> + β</t>
    </r>
    <r>
      <rPr>
        <vertAlign val="subscript"/>
        <sz val="12"/>
        <color theme="1"/>
        <rFont val="Calibri"/>
        <family val="2"/>
        <scheme val="minor"/>
      </rPr>
      <t>2</t>
    </r>
    <r>
      <rPr>
        <sz val="12"/>
        <color theme="1"/>
        <rFont val="Calibri"/>
        <family val="2"/>
        <scheme val="minor"/>
      </rPr>
      <t>X</t>
    </r>
    <r>
      <rPr>
        <vertAlign val="subscript"/>
        <sz val="12"/>
        <color theme="1"/>
        <rFont val="Calibri"/>
        <family val="2"/>
        <scheme val="minor"/>
      </rPr>
      <t>2</t>
    </r>
    <r>
      <rPr>
        <sz val="12"/>
        <color theme="1"/>
        <rFont val="Calibri"/>
        <family val="2"/>
        <scheme val="minor"/>
      </rPr>
      <t xml:space="preserve"> + e, por meio do método de MQO. Interprete os resultados.</t>
    </r>
  </si>
  <si>
    <r>
      <t>3) (1.50 pontos)</t>
    </r>
    <r>
      <rPr>
        <sz val="12"/>
        <color theme="1"/>
        <rFont val="Calibri"/>
        <family val="2"/>
        <scheme val="minor"/>
      </rPr>
      <t xml:space="preserve"> Realize a avaliação gráfica e conclua se há ou não suspeita de heterocedasticidade.</t>
    </r>
  </si>
  <si>
    <r>
      <t>4) (2.00 pontos)</t>
    </r>
    <r>
      <rPr>
        <sz val="12"/>
        <color theme="1"/>
        <rFont val="Calibri"/>
        <family val="2"/>
        <scheme val="minor"/>
      </rPr>
      <t xml:space="preserve"> Realize o teste de Breusch-Pagan e o teste de White. O que você conclui, a partir dos resultados?</t>
    </r>
  </si>
  <si>
    <r>
      <t>5) (2.00 pontos)</t>
    </r>
    <r>
      <rPr>
        <sz val="12"/>
        <color theme="1"/>
        <rFont val="Calibri"/>
        <family val="2"/>
        <scheme val="minor"/>
      </rPr>
      <t xml:space="preserve"> Aplique o método dos MQGF e obtenha os novos estimadores da regressão. Compare resultados com o item (1)</t>
    </r>
    <r>
      <rPr>
        <b/>
        <sz val="12"/>
        <color theme="1"/>
        <rFont val="Calibri"/>
        <family val="2"/>
        <scheme val="minor"/>
      </rPr>
      <t>.</t>
    </r>
  </si>
  <si>
    <r>
      <t>6) (1.50 pontos)</t>
    </r>
    <r>
      <rPr>
        <sz val="12"/>
        <color theme="1"/>
        <rFont val="Calibri"/>
        <family val="2"/>
        <scheme val="minor"/>
      </rPr>
      <t xml:space="preserve"> Escolha </t>
    </r>
    <r>
      <rPr>
        <i/>
        <sz val="12"/>
        <color theme="1"/>
        <rFont val="Calibri"/>
        <family val="2"/>
        <scheme val="minor"/>
      </rPr>
      <t>sabiamente</t>
    </r>
    <r>
      <rPr>
        <sz val="12"/>
        <color theme="1"/>
        <rFont val="Calibri"/>
        <family val="2"/>
        <scheme val="minor"/>
      </rPr>
      <t xml:space="preserve"> uma variável para converter em logaritmo. Avalie se, após fazer MQO, ainda persiste a heterocedasticidade.</t>
    </r>
  </si>
  <si>
    <r>
      <t>7) (1.00 pontos)</t>
    </r>
    <r>
      <rPr>
        <sz val="12"/>
        <color theme="1"/>
        <rFont val="Calibri"/>
        <family val="2"/>
        <scheme val="minor"/>
      </rPr>
      <t xml:space="preserve"> O que você consegue concluir, diante das evidências encontradas?</t>
    </r>
  </si>
  <si>
    <r>
      <rPr>
        <b/>
        <sz val="12"/>
        <color theme="1"/>
        <rFont val="Calibri"/>
        <family val="2"/>
        <scheme val="minor"/>
      </rPr>
      <t xml:space="preserve">1) (1.00 pontos) </t>
    </r>
    <r>
      <rPr>
        <sz val="12"/>
        <color theme="1"/>
        <rFont val="Calibri"/>
        <family val="2"/>
        <scheme val="minor"/>
      </rPr>
      <t xml:space="preserve">Estime o modelo de regressão I = </t>
    </r>
    <r>
      <rPr>
        <sz val="12"/>
        <color theme="1"/>
        <rFont val="Calibri"/>
        <family val="2"/>
      </rPr>
      <t>α</t>
    </r>
    <r>
      <rPr>
        <sz val="12"/>
        <color theme="1"/>
        <rFont val="Calibri"/>
        <family val="2"/>
        <scheme val="minor"/>
      </rPr>
      <t xml:space="preserve"> + β</t>
    </r>
    <r>
      <rPr>
        <vertAlign val="subscript"/>
        <sz val="12"/>
        <color theme="1"/>
        <rFont val="Calibri"/>
        <family val="2"/>
        <scheme val="minor"/>
      </rPr>
      <t>1</t>
    </r>
    <r>
      <rPr>
        <sz val="12"/>
        <color theme="1"/>
        <rFont val="Calibri"/>
        <family val="2"/>
        <scheme val="minor"/>
      </rPr>
      <t>V + β</t>
    </r>
    <r>
      <rPr>
        <vertAlign val="subscript"/>
        <sz val="12"/>
        <color theme="1"/>
        <rFont val="Calibri"/>
        <family val="2"/>
        <scheme val="minor"/>
      </rPr>
      <t>2</t>
    </r>
    <r>
      <rPr>
        <sz val="12"/>
        <color theme="1"/>
        <rFont val="Calibri"/>
        <family val="2"/>
        <scheme val="minor"/>
      </rPr>
      <t>K + e, por meio do método de MQO. Interprete os resultados.</t>
    </r>
  </si>
  <si>
    <r>
      <t>2) (1.00 pontos)</t>
    </r>
    <r>
      <rPr>
        <sz val="12"/>
        <color theme="1"/>
        <rFont val="Calibri"/>
        <family val="2"/>
        <scheme val="minor"/>
      </rPr>
      <t xml:space="preserve"> Construa a tabela ANOVA (e interprete o teste-F), calcule o R² ajustado e avalie a significância dos coeficientes (teste-T).</t>
    </r>
  </si>
  <si>
    <r>
      <t xml:space="preserve">Este exercício vale </t>
    </r>
    <r>
      <rPr>
        <u/>
        <sz val="12"/>
        <color theme="1"/>
        <rFont val="Calibri"/>
        <family val="2"/>
        <scheme val="minor"/>
      </rPr>
      <t>17,5% (dezessete porcento e cinco décimos) da nota da P2</t>
    </r>
    <r>
      <rPr>
        <sz val="12"/>
        <color theme="1"/>
        <rFont val="Calibri"/>
        <family val="2"/>
        <scheme val="minor"/>
      </rPr>
      <t>. A nota desta prova será ponderada junto às demais notas da Prova 2, compondo a nota da P2. Faça o que é pedido, sempre utilizando (</t>
    </r>
    <r>
      <rPr>
        <b/>
        <u/>
        <sz val="12"/>
        <color theme="1"/>
        <rFont val="Calibri"/>
        <family val="2"/>
        <scheme val="minor"/>
      </rPr>
      <t>a não ser que seja solicitado o contrário</t>
    </r>
    <r>
      <rPr>
        <sz val="12"/>
        <color theme="1"/>
        <rFont val="Calibri"/>
        <family val="2"/>
        <scheme val="minor"/>
      </rPr>
      <t xml:space="preserve">) álgebra matricial. </t>
    </r>
    <r>
      <rPr>
        <u/>
        <sz val="12"/>
        <color theme="1"/>
        <rFont val="Calibri"/>
        <family val="2"/>
        <scheme val="minor"/>
      </rPr>
      <t>Deixe todas as fórmulas indicadas</t>
    </r>
    <r>
      <rPr>
        <sz val="12"/>
        <color theme="1"/>
        <rFont val="Calibri"/>
        <family val="2"/>
        <scheme val="minor"/>
      </rPr>
      <t xml:space="preserve">, sob pena de perder nota!
Você recebeu essa prova em 07/05, durante a aula. Faça a QUESTÃO 1 e devolva-a </t>
    </r>
    <r>
      <rPr>
        <b/>
        <u/>
        <sz val="12"/>
        <color theme="1"/>
        <rFont val="Calibri"/>
        <family val="2"/>
        <scheme val="minor"/>
      </rPr>
      <t>até 14/05</t>
    </r>
    <r>
      <rPr>
        <sz val="12"/>
        <color theme="1"/>
        <rFont val="Calibri"/>
        <family val="2"/>
        <scheme val="minor"/>
      </rPr>
      <t xml:space="preserve">, antes do horário da aula (19h30). Ao terminar a sua prova, </t>
    </r>
    <r>
      <rPr>
        <b/>
        <u/>
        <sz val="12"/>
        <color theme="1"/>
        <rFont val="Calibri"/>
        <family val="2"/>
        <scheme val="minor"/>
      </rPr>
      <t>SALVE O ARQUIVO E ENVIE PARA O E-MAIL</t>
    </r>
    <r>
      <rPr>
        <sz val="12"/>
        <color theme="1"/>
        <rFont val="Calibri"/>
        <family val="2"/>
        <scheme val="minor"/>
      </rPr>
      <t xml:space="preserve"> pier.francesco@esamc.br!</t>
    </r>
  </si>
  <si>
    <r>
      <t xml:space="preserve">Este exercício vale </t>
    </r>
    <r>
      <rPr>
        <u/>
        <sz val="12"/>
        <color theme="1"/>
        <rFont val="Calibri"/>
        <family val="2"/>
        <scheme val="minor"/>
      </rPr>
      <t>17,5% (dezessete porcento e cinco décimos) da nota da P2</t>
    </r>
    <r>
      <rPr>
        <sz val="12"/>
        <color theme="1"/>
        <rFont val="Calibri"/>
        <family val="2"/>
        <scheme val="minor"/>
      </rPr>
      <t>. A nota desta prova será ponderada junto às demais notas da Prova 2, compondo a nota da P2. Faça o que é pedido, sempre utilizando (</t>
    </r>
    <r>
      <rPr>
        <b/>
        <u/>
        <sz val="12"/>
        <color theme="1"/>
        <rFont val="Calibri"/>
        <family val="2"/>
        <scheme val="minor"/>
      </rPr>
      <t>a não ser que seja solicitado o contrário</t>
    </r>
    <r>
      <rPr>
        <sz val="12"/>
        <color theme="1"/>
        <rFont val="Calibri"/>
        <family val="2"/>
        <scheme val="minor"/>
      </rPr>
      <t xml:space="preserve">) álgebra matricial. </t>
    </r>
    <r>
      <rPr>
        <u/>
        <sz val="12"/>
        <color theme="1"/>
        <rFont val="Calibri"/>
        <family val="2"/>
        <scheme val="minor"/>
      </rPr>
      <t>Deixe todas as fórmulas indicadas</t>
    </r>
    <r>
      <rPr>
        <sz val="12"/>
        <color theme="1"/>
        <rFont val="Calibri"/>
        <family val="2"/>
        <scheme val="minor"/>
      </rPr>
      <t xml:space="preserve">, sob pena de perder nota!
Você recebeu essa prova em 07/05, durante a aula. Faça a QUESTÃO 2 e devolva-a </t>
    </r>
    <r>
      <rPr>
        <b/>
        <u/>
        <sz val="12"/>
        <color theme="1"/>
        <rFont val="Calibri"/>
        <family val="2"/>
        <scheme val="minor"/>
      </rPr>
      <t>até 21/05</t>
    </r>
    <r>
      <rPr>
        <sz val="12"/>
        <color theme="1"/>
        <rFont val="Calibri"/>
        <family val="2"/>
        <scheme val="minor"/>
      </rPr>
      <t xml:space="preserve">, antes do horário da aula (19h30). Ao terminar a sua prova, </t>
    </r>
    <r>
      <rPr>
        <b/>
        <u/>
        <sz val="12"/>
        <color theme="1"/>
        <rFont val="Calibri"/>
        <family val="2"/>
        <scheme val="minor"/>
      </rPr>
      <t>SALVE O ARQUIVO E ENVIE PARA O E-MAIL</t>
    </r>
    <r>
      <rPr>
        <sz val="12"/>
        <color theme="1"/>
        <rFont val="Calibri"/>
        <family val="2"/>
        <scheme val="minor"/>
      </rPr>
      <t xml:space="preserve"> pier.francesco@esamc.br!</t>
    </r>
  </si>
  <si>
    <r>
      <t xml:space="preserve">Este exercício vale </t>
    </r>
    <r>
      <rPr>
        <u/>
        <sz val="12"/>
        <color theme="1"/>
        <rFont val="Calibri"/>
        <family val="2"/>
        <scheme val="minor"/>
      </rPr>
      <t>17,5% (dezessete porcento e cinco décimos) da nota da P2</t>
    </r>
    <r>
      <rPr>
        <sz val="12"/>
        <color theme="1"/>
        <rFont val="Calibri"/>
        <family val="2"/>
        <scheme val="minor"/>
      </rPr>
      <t>. A nota desta prova será ponderada junto às demais notas da Prova 2, compondo a nota da P2. Faça o que é pedido, sempre utilizando (</t>
    </r>
    <r>
      <rPr>
        <b/>
        <u/>
        <sz val="12"/>
        <color theme="1"/>
        <rFont val="Calibri"/>
        <family val="2"/>
        <scheme val="minor"/>
      </rPr>
      <t>a não ser que seja solicitado o contrário</t>
    </r>
    <r>
      <rPr>
        <sz val="12"/>
        <color theme="1"/>
        <rFont val="Calibri"/>
        <family val="2"/>
        <scheme val="minor"/>
      </rPr>
      <t xml:space="preserve">) álgebra matricial. </t>
    </r>
    <r>
      <rPr>
        <u/>
        <sz val="12"/>
        <color theme="1"/>
        <rFont val="Calibri"/>
        <family val="2"/>
        <scheme val="minor"/>
      </rPr>
      <t>Deixe todas as fórmulas indicadas</t>
    </r>
    <r>
      <rPr>
        <sz val="12"/>
        <color theme="1"/>
        <rFont val="Calibri"/>
        <family val="2"/>
        <scheme val="minor"/>
      </rPr>
      <t xml:space="preserve">, sob pena de perder nota!
Você recebeu essa prova em 07/05, durante a aula. Faça a QUESTÃO 3 e devolva-a </t>
    </r>
    <r>
      <rPr>
        <b/>
        <u/>
        <sz val="12"/>
        <color theme="1"/>
        <rFont val="Calibri"/>
        <family val="2"/>
        <scheme val="minor"/>
      </rPr>
      <t>até 28/05</t>
    </r>
    <r>
      <rPr>
        <sz val="12"/>
        <color theme="1"/>
        <rFont val="Calibri"/>
        <family val="2"/>
        <scheme val="minor"/>
      </rPr>
      <t xml:space="preserve">, antes do horário da aula (19h30). Ao terminar a sua prova, </t>
    </r>
    <r>
      <rPr>
        <b/>
        <u/>
        <sz val="12"/>
        <color theme="1"/>
        <rFont val="Calibri"/>
        <family val="2"/>
        <scheme val="minor"/>
      </rPr>
      <t>SALVE O ARQUIVO E ENVIE PARA O E-MAIL</t>
    </r>
    <r>
      <rPr>
        <sz val="12"/>
        <color theme="1"/>
        <rFont val="Calibri"/>
        <family val="2"/>
        <scheme val="minor"/>
      </rPr>
      <t xml:space="preserve"> pier.francesco@esamc.br!</t>
    </r>
  </si>
  <si>
    <t>Você recebeu os dados abaixo, necessários para construir uma função Cobb-Douglas para Taiwan, entre os anos de 1958 e 1972. Y é o produto real, L são os dias trabalhados e K é o volume de capital. Faça o que é pedido, na ordem.</t>
  </si>
  <si>
    <r>
      <t>4) (2.00 pontos)</t>
    </r>
    <r>
      <rPr>
        <sz val="12"/>
        <color theme="1"/>
        <rFont val="Calibri"/>
        <family val="2"/>
        <scheme val="minor"/>
      </rPr>
      <t xml:space="preserve"> Realize o teste de regressores exógenos, bem como o teste Durbin-Watson. O que você conclui, a partir dos resultados?</t>
    </r>
  </si>
  <si>
    <r>
      <t>3) (1.50 pontos)</t>
    </r>
    <r>
      <rPr>
        <sz val="12"/>
        <color theme="1"/>
        <rFont val="Calibri"/>
        <family val="2"/>
        <scheme val="minor"/>
      </rPr>
      <t xml:space="preserve"> Realize a avaliação gráfica e monte o correlograma; conclua se há ou não suspeita de autocorrelação serial.</t>
    </r>
  </si>
  <si>
    <r>
      <rPr>
        <b/>
        <sz val="13"/>
        <color rgb="FFFF0000"/>
        <rFont val="Calibri"/>
        <family val="2"/>
        <scheme val="minor"/>
      </rPr>
      <t>Prova 2 / Parte 3</t>
    </r>
    <r>
      <rPr>
        <sz val="13"/>
        <color rgb="FFFF0000"/>
        <rFont val="Calibri"/>
        <family val="2"/>
        <scheme val="minor"/>
      </rPr>
      <t xml:space="preserve"> (Autocorrelação serial)</t>
    </r>
  </si>
  <si>
    <r>
      <t>6) (2.00 pontos)</t>
    </r>
    <r>
      <rPr>
        <sz val="12"/>
        <color theme="1"/>
        <rFont val="Calibri"/>
        <family val="2"/>
        <scheme val="minor"/>
      </rPr>
      <t xml:space="preserve"> Aplique o método dos MQGF e obtenha os novos estimadores da regressão. Compare resultados com o item (1)</t>
    </r>
    <r>
      <rPr>
        <b/>
        <sz val="12"/>
        <color theme="1"/>
        <rFont val="Calibri"/>
        <family val="2"/>
        <scheme val="minor"/>
      </rPr>
      <t>.</t>
    </r>
  </si>
  <si>
    <t>Ano</t>
  </si>
  <si>
    <t>L</t>
  </si>
  <si>
    <r>
      <t>2) (1.50 pontos)</t>
    </r>
    <r>
      <rPr>
        <sz val="12"/>
        <color theme="1"/>
        <rFont val="Calibri"/>
        <family val="2"/>
        <scheme val="minor"/>
      </rPr>
      <t xml:space="preserve"> Avalie se o modelo como um todo é significativo (teste-F), construindo a tabela ANOVA.</t>
    </r>
  </si>
  <si>
    <r>
      <t>4) (2.00 pontos)</t>
    </r>
    <r>
      <rPr>
        <sz val="12"/>
        <color theme="1"/>
        <rFont val="Calibri"/>
        <family val="2"/>
        <scheme val="minor"/>
      </rPr>
      <t xml:space="preserve"> Calcule os FIV para X1 e X2. Avalie se, a partir dos mesmos, é possível concluir pela multicolinearidade (SE SIM, INDIQUE QUAL(IS) VARIÁVEL(IS).</t>
    </r>
  </si>
  <si>
    <r>
      <rPr>
        <b/>
        <sz val="12"/>
        <color theme="1"/>
        <rFont val="Calibri"/>
        <family val="2"/>
        <scheme val="minor"/>
      </rPr>
      <t xml:space="preserve">1) (1.00 pontos) </t>
    </r>
    <r>
      <rPr>
        <sz val="12"/>
        <color theme="1"/>
        <rFont val="Calibri"/>
        <family val="2"/>
        <scheme val="minor"/>
      </rPr>
      <t xml:space="preserve">Estime o modelo de regressão </t>
    </r>
    <r>
      <rPr>
        <sz val="12"/>
        <color rgb="FFFF0000"/>
        <rFont val="Calibri"/>
        <family val="2"/>
        <scheme val="minor"/>
      </rPr>
      <t xml:space="preserve">ln(Y) = </t>
    </r>
    <r>
      <rPr>
        <sz val="12"/>
        <color rgb="FFFF0000"/>
        <rFont val="Calibri"/>
        <family val="2"/>
      </rPr>
      <t>α</t>
    </r>
    <r>
      <rPr>
        <sz val="12"/>
        <color rgb="FFFF0000"/>
        <rFont val="Calibri"/>
        <family val="2"/>
        <scheme val="minor"/>
      </rPr>
      <t xml:space="preserve"> + β</t>
    </r>
    <r>
      <rPr>
        <vertAlign val="subscript"/>
        <sz val="12"/>
        <color rgb="FFFF0000"/>
        <rFont val="Calibri"/>
        <family val="2"/>
        <scheme val="minor"/>
      </rPr>
      <t>1</t>
    </r>
    <r>
      <rPr>
        <sz val="12"/>
        <color rgb="FFFF0000"/>
        <rFont val="Calibri"/>
        <family val="2"/>
        <scheme val="minor"/>
      </rPr>
      <t>ln(L) + β</t>
    </r>
    <r>
      <rPr>
        <vertAlign val="subscript"/>
        <sz val="12"/>
        <color rgb="FFFF0000"/>
        <rFont val="Calibri"/>
        <family val="2"/>
        <scheme val="minor"/>
      </rPr>
      <t>2</t>
    </r>
    <r>
      <rPr>
        <sz val="12"/>
        <color rgb="FFFF0000"/>
        <rFont val="Calibri"/>
        <family val="2"/>
        <scheme val="minor"/>
      </rPr>
      <t>ln(K)</t>
    </r>
    <r>
      <rPr>
        <sz val="12"/>
        <color theme="1"/>
        <rFont val="Calibri"/>
        <family val="2"/>
        <scheme val="minor"/>
      </rPr>
      <t xml:space="preserve"> + e, por meio do método de MQO. Interprete os resultados.</t>
    </r>
  </si>
  <si>
    <r>
      <t>5) (1.50 pontos)</t>
    </r>
    <r>
      <rPr>
        <sz val="12"/>
        <color theme="1"/>
        <rFont val="Calibri"/>
        <family val="2"/>
        <scheme val="minor"/>
      </rPr>
      <t xml:space="preserve"> Realize o teste de Breusch-Godfrey para autocorrelação de 1ª e 2ª ordem. Analise os resultados.</t>
    </r>
  </si>
  <si>
    <t>α</t>
  </si>
  <si>
    <t>RESUMO DOS RESULTADOS</t>
  </si>
  <si>
    <t>Estatística de regressão</t>
  </si>
  <si>
    <t>R múltiplo</t>
  </si>
  <si>
    <t>R-Quadrado</t>
  </si>
  <si>
    <t>R-quadrado ajustado</t>
  </si>
  <si>
    <t>Erro padrão</t>
  </si>
  <si>
    <t>Observações</t>
  </si>
  <si>
    <t>ANOVA</t>
  </si>
  <si>
    <t>Regressão</t>
  </si>
  <si>
    <t>Resíduo</t>
  </si>
  <si>
    <t>Total</t>
  </si>
  <si>
    <t>Interseção</t>
  </si>
  <si>
    <t>gl</t>
  </si>
  <si>
    <t>SQ</t>
  </si>
  <si>
    <t>MQ</t>
  </si>
  <si>
    <t>F</t>
  </si>
  <si>
    <t>F de significação</t>
  </si>
  <si>
    <t>Coeficientes</t>
  </si>
  <si>
    <t>Stat t</t>
  </si>
  <si>
    <t>valor-P</t>
  </si>
  <si>
    <t>95% inferiores</t>
  </si>
  <si>
    <t>95% superiores</t>
  </si>
  <si>
    <t>Inferior 95,0%</t>
  </si>
  <si>
    <t>Superior 95,0%</t>
  </si>
  <si>
    <t>X1</t>
  </si>
  <si>
    <t>X2</t>
  </si>
  <si>
    <t>n</t>
  </si>
  <si>
    <t>ybarra</t>
  </si>
  <si>
    <t>TABELA ANOVA</t>
  </si>
  <si>
    <t>Fonte</t>
  </si>
  <si>
    <t>GL</t>
  </si>
  <si>
    <t>QM</t>
  </si>
  <si>
    <t>F(calc)</t>
  </si>
  <si>
    <t>Resíduos</t>
  </si>
  <si>
    <r>
      <t>X</t>
    </r>
    <r>
      <rPr>
        <b/>
        <vertAlign val="subscript"/>
        <sz val="12"/>
        <color theme="1"/>
        <rFont val="Calibri Light"/>
        <family val="2"/>
        <scheme val="major"/>
      </rPr>
      <t>1</t>
    </r>
  </si>
  <si>
    <r>
      <t>X</t>
    </r>
    <r>
      <rPr>
        <b/>
        <vertAlign val="subscript"/>
        <sz val="12"/>
        <color theme="1"/>
        <rFont val="Calibri Light"/>
        <family val="2"/>
        <scheme val="major"/>
      </rPr>
      <t>2</t>
    </r>
  </si>
  <si>
    <r>
      <t>y</t>
    </r>
    <r>
      <rPr>
        <b/>
        <vertAlign val="superscript"/>
        <sz val="10"/>
        <rFont val="Calibri Light"/>
        <family val="2"/>
        <scheme val="major"/>
      </rPr>
      <t>T</t>
    </r>
    <r>
      <rPr>
        <b/>
        <sz val="10"/>
        <rFont val="Calibri Light"/>
        <family val="2"/>
        <scheme val="major"/>
      </rPr>
      <t>y</t>
    </r>
  </si>
  <si>
    <r>
      <rPr>
        <b/>
        <sz val="10"/>
        <rFont val="Calibri Light"/>
        <family val="2"/>
        <scheme val="major"/>
      </rPr>
      <t>β</t>
    </r>
    <r>
      <rPr>
        <b/>
        <vertAlign val="superscript"/>
        <sz val="10"/>
        <rFont val="Calibri Light"/>
        <family val="2"/>
        <scheme val="major"/>
      </rPr>
      <t>T</t>
    </r>
    <r>
      <rPr>
        <b/>
        <sz val="10"/>
        <rFont val="Calibri Light"/>
        <family val="2"/>
        <scheme val="major"/>
      </rPr>
      <t>X</t>
    </r>
    <r>
      <rPr>
        <b/>
        <vertAlign val="superscript"/>
        <sz val="10"/>
        <rFont val="Calibri Light"/>
        <family val="2"/>
        <scheme val="major"/>
      </rPr>
      <t>T</t>
    </r>
    <r>
      <rPr>
        <b/>
        <sz val="10"/>
        <rFont val="Calibri Light"/>
        <family val="2"/>
        <scheme val="major"/>
      </rPr>
      <t>y</t>
    </r>
  </si>
  <si>
    <r>
      <t>β</t>
    </r>
    <r>
      <rPr>
        <b/>
        <vertAlign val="subscript"/>
        <sz val="10"/>
        <rFont val="Calibri Light"/>
        <family val="2"/>
        <scheme val="major"/>
      </rPr>
      <t>1</t>
    </r>
  </si>
  <si>
    <r>
      <t>β</t>
    </r>
    <r>
      <rPr>
        <b/>
        <vertAlign val="subscript"/>
        <sz val="10"/>
        <rFont val="Calibri Light"/>
        <family val="2"/>
        <scheme val="major"/>
      </rPr>
      <t>2</t>
    </r>
  </si>
  <si>
    <t>STQ</t>
  </si>
  <si>
    <t>SQReg</t>
  </si>
  <si>
    <t>SQRes</t>
  </si>
  <si>
    <t>Resultado</t>
  </si>
  <si>
    <t>R²</t>
  </si>
  <si>
    <t>R² ajustado</t>
  </si>
  <si>
    <t>O modelo como um todo é significante. Ou seja, rejeitamos H0, pois F(calc) é maior do que F(crit).</t>
  </si>
  <si>
    <t>Sigma^²</t>
  </si>
  <si>
    <t>Matriz VAR-COVAR</t>
  </si>
  <si>
    <t>β1</t>
  </si>
  <si>
    <t>β2</t>
  </si>
  <si>
    <t>t(calc)</t>
  </si>
  <si>
    <t>t(crit)</t>
  </si>
  <si>
    <t>F(crit)</t>
  </si>
  <si>
    <t>β2 é significativo. Apenas β1 não é siginficativo isoladamente, portanto não rejeitamos H0 para ele.</t>
  </si>
  <si>
    <t>Interpretação do modelo</t>
  </si>
  <si>
    <t>Y = -8628,1947 -2623,8271*X1 +14151,05*X2 + e</t>
  </si>
  <si>
    <t>A cada 1 p.p de aumento em X1 há dimunuição de 2623,83 em Y</t>
  </si>
  <si>
    <t>A cada 1 p.p de aumento em X2 há aumento de 14151,05 em Y</t>
  </si>
  <si>
    <r>
      <t>Y (</t>
    </r>
    <r>
      <rPr>
        <b/>
        <sz val="12"/>
        <color rgb="FFFF0000"/>
        <rFont val="Calibri Light"/>
        <family val="2"/>
        <scheme val="major"/>
      </rPr>
      <t>X1</t>
    </r>
    <r>
      <rPr>
        <b/>
        <sz val="12"/>
        <color theme="1"/>
        <rFont val="Calibri Light"/>
        <family val="2"/>
        <scheme val="major"/>
      </rPr>
      <t>)</t>
    </r>
  </si>
  <si>
    <r>
      <t>Y (</t>
    </r>
    <r>
      <rPr>
        <b/>
        <sz val="12"/>
        <color rgb="FFFF0000"/>
        <rFont val="Calibri Light"/>
        <family val="2"/>
        <scheme val="major"/>
      </rPr>
      <t>X2</t>
    </r>
    <r>
      <rPr>
        <b/>
        <sz val="12"/>
        <color theme="1"/>
        <rFont val="Calibri Light"/>
        <family val="2"/>
        <scheme val="major"/>
      </rPr>
      <t>)</t>
    </r>
  </si>
  <si>
    <t>FIV</t>
  </si>
  <si>
    <t>Não temos multicolinearidade pois o resultado do FIV não é &gt; 10</t>
  </si>
  <si>
    <r>
      <t>X</t>
    </r>
    <r>
      <rPr>
        <b/>
        <vertAlign val="subscript"/>
        <sz val="12"/>
        <color theme="1"/>
        <rFont val="Calibri Light"/>
        <family val="2"/>
        <scheme val="major"/>
      </rPr>
      <t>2(</t>
    </r>
    <r>
      <rPr>
        <b/>
        <vertAlign val="subscript"/>
        <sz val="12"/>
        <color rgb="FFFF0000"/>
        <rFont val="Calibri Light"/>
        <family val="2"/>
        <scheme val="major"/>
      </rPr>
      <t>log</t>
    </r>
    <r>
      <rPr>
        <b/>
        <vertAlign val="subscript"/>
        <sz val="12"/>
        <color theme="1"/>
        <rFont val="Calibri Light"/>
        <family val="2"/>
        <scheme val="major"/>
      </rPr>
      <t>)</t>
    </r>
  </si>
  <si>
    <t>X2(log)</t>
  </si>
  <si>
    <t>A variável X2 foi escolhida para ser transformada em logaritmo já que X1 e X2 são muito parecidas, porém de acordo com os resuldados do R² ajustado, o modelo se tornou menos significativo.</t>
  </si>
  <si>
    <t xml:space="preserve">Para resolução deste case, indicaria trocar uma das variáveis para algo que tenha mais inferência no modelo, já que as duas são muito parecidas, e claro, adicionar mais amostras para serem calculadas com maior precisão nosso modelo de regressão multipla. </t>
  </si>
  <si>
    <t>I(y)</t>
  </si>
  <si>
    <t>K(X2)</t>
  </si>
  <si>
    <t>VX1)</t>
  </si>
  <si>
    <t>V(X1)</t>
  </si>
  <si>
    <t>Y = -20,2121 +0,0283 *X1 + 0,16505*X2 + e</t>
  </si>
  <si>
    <t>A cada 1 p.p de aumento em X1 há aumento de 0,028392 em Y</t>
  </si>
  <si>
    <t>A cada 1 p.p de aumento em X2 há aumento de 0,16505 em Y</t>
  </si>
  <si>
    <t>ê^2</t>
  </si>
  <si>
    <t>ê</t>
  </si>
  <si>
    <t>Para o teste Breusch-Pagan (BP)</t>
  </si>
  <si>
    <t>ê^2(y)</t>
  </si>
  <si>
    <t>De acordo com a análise gráfica, há heterocedasticidade em ambas variáveis X, pois a disperssão dos pontos não tem padrão horizontal.</t>
  </si>
  <si>
    <t>γ</t>
  </si>
  <si>
    <t>δ1</t>
  </si>
  <si>
    <t>δ2</t>
  </si>
  <si>
    <t>yTy</t>
  </si>
  <si>
    <t>R² aux</t>
  </si>
  <si>
    <t>LM</t>
  </si>
  <si>
    <r>
      <t>nY</t>
    </r>
    <r>
      <rPr>
        <b/>
        <vertAlign val="subscript"/>
        <sz val="10"/>
        <rFont val="Calibri Light"/>
        <family val="2"/>
        <scheme val="major"/>
      </rPr>
      <t>médio</t>
    </r>
    <r>
      <rPr>
        <b/>
        <sz val="10"/>
        <rFont val="Calibri Light"/>
        <family val="2"/>
        <scheme val="major"/>
      </rPr>
      <t>²</t>
    </r>
  </si>
  <si>
    <r>
      <rPr>
        <b/>
        <sz val="10"/>
        <color theme="1"/>
        <rFont val="Calibri Light"/>
        <family val="2"/>
        <scheme val="major"/>
      </rPr>
      <t>χ² (crit)</t>
    </r>
  </si>
  <si>
    <t>Não foi comprovado estatisticamente heterocedasticidade no modelo.</t>
  </si>
  <si>
    <t>Para o teste de White (TW)</t>
  </si>
  <si>
    <t>X1²</t>
  </si>
  <si>
    <t>X2²</t>
  </si>
  <si>
    <t>X1 x X2</t>
  </si>
  <si>
    <t>β3</t>
  </si>
  <si>
    <t>β4</t>
  </si>
  <si>
    <t>β5</t>
  </si>
  <si>
    <t>Não há comprovação de heterocedasticidade de acordo com o indicador.</t>
  </si>
  <si>
    <t>Conclusão : Apesar da análise gráfica apresentar indicação de heterocedasticidade, estatisticamente não foi confirmado.</t>
  </si>
  <si>
    <t>PROCESSO DE CORREÇÃO DA HETEROCEDASTICIDADE POR MÍNIMOS QUADRADOS GENERALIZADOS FACTÍVEIS (MQGF)</t>
  </si>
  <si>
    <t>ln(ê²)</t>
  </si>
  <si>
    <t>v</t>
  </si>
  <si>
    <t>Matriz V</t>
  </si>
  <si>
    <t>Matriz V-1</t>
  </si>
  <si>
    <t>(XTV-1X)-1</t>
  </si>
  <si>
    <r>
      <t>(X</t>
    </r>
    <r>
      <rPr>
        <b/>
        <vertAlign val="superscript"/>
        <sz val="10"/>
        <rFont val="Calibri"/>
        <family val="2"/>
        <scheme val="minor"/>
      </rPr>
      <t>T</t>
    </r>
    <r>
      <rPr>
        <b/>
        <sz val="10"/>
        <rFont val="Calibri"/>
        <family val="2"/>
        <scheme val="minor"/>
      </rPr>
      <t>V</t>
    </r>
    <r>
      <rPr>
        <b/>
        <vertAlign val="superscript"/>
        <sz val="10"/>
        <rFont val="Calibri"/>
        <family val="2"/>
        <scheme val="minor"/>
      </rPr>
      <t>-1</t>
    </r>
    <r>
      <rPr>
        <b/>
        <sz val="10"/>
        <rFont val="Calibri"/>
        <family val="2"/>
        <scheme val="minor"/>
      </rPr>
      <t>y)</t>
    </r>
  </si>
  <si>
    <t>Coeficientes corrigidos</t>
  </si>
  <si>
    <t>O indicador com maior alteração foi o alfa. Os demais não houve mudança considerável.</t>
  </si>
  <si>
    <t>Sigma^2</t>
  </si>
  <si>
    <r>
      <rPr>
        <b/>
        <sz val="10"/>
        <rFont val="Calibri Light"/>
        <family val="2"/>
        <scheme val="major"/>
      </rPr>
      <t>β</t>
    </r>
    <r>
      <rPr>
        <b/>
        <vertAlign val="superscript"/>
        <sz val="10"/>
        <rFont val="Calibri Light"/>
        <family val="2"/>
        <scheme val="major"/>
      </rPr>
      <t>T</t>
    </r>
    <r>
      <rPr>
        <b/>
        <sz val="10"/>
        <rFont val="Calibri Light"/>
        <family val="2"/>
        <scheme val="major"/>
      </rPr>
      <t>X</t>
    </r>
    <r>
      <rPr>
        <b/>
        <vertAlign val="superscript"/>
        <sz val="10"/>
        <rFont val="Calibri Light"/>
        <family val="2"/>
        <scheme val="major"/>
      </rPr>
      <t>T</t>
    </r>
    <r>
      <rPr>
        <b/>
        <sz val="10"/>
        <rFont val="Calibri Light"/>
        <family val="2"/>
        <scheme val="major"/>
      </rPr>
      <t>V</t>
    </r>
    <r>
      <rPr>
        <b/>
        <vertAlign val="superscript"/>
        <sz val="10"/>
        <rFont val="Calibri Light"/>
        <family val="2"/>
        <scheme val="major"/>
      </rPr>
      <t>t</t>
    </r>
    <r>
      <rPr>
        <b/>
        <sz val="10"/>
        <rFont val="Calibri Light"/>
        <family val="2"/>
        <scheme val="major"/>
      </rPr>
      <t>Y</t>
    </r>
  </si>
  <si>
    <t xml:space="preserve">Em linhas gerais, concluí-se que não há heterocidasticidades entre as variáveis X e os processos de correção não serim necessários para este modelo. </t>
  </si>
  <si>
    <t>Ybarra</t>
  </si>
  <si>
    <r>
      <t>y</t>
    </r>
    <r>
      <rPr>
        <b/>
        <vertAlign val="superscript"/>
        <sz val="10"/>
        <color theme="0"/>
        <rFont val="Calibri Light"/>
        <family val="2"/>
        <scheme val="major"/>
      </rPr>
      <t>T</t>
    </r>
    <r>
      <rPr>
        <b/>
        <sz val="10"/>
        <color theme="0"/>
        <rFont val="Calibri Light"/>
        <family val="2"/>
        <scheme val="major"/>
      </rPr>
      <t>y</t>
    </r>
  </si>
  <si>
    <r>
      <rPr>
        <b/>
        <sz val="10"/>
        <color theme="0"/>
        <rFont val="Calibri Light"/>
        <family val="2"/>
        <scheme val="major"/>
      </rPr>
      <t>β</t>
    </r>
    <r>
      <rPr>
        <b/>
        <vertAlign val="superscript"/>
        <sz val="10"/>
        <color theme="0"/>
        <rFont val="Calibri Light"/>
        <family val="2"/>
        <scheme val="major"/>
      </rPr>
      <t>T</t>
    </r>
    <r>
      <rPr>
        <b/>
        <sz val="10"/>
        <color theme="0"/>
        <rFont val="Calibri Light"/>
        <family val="2"/>
        <scheme val="major"/>
      </rPr>
      <t>X</t>
    </r>
    <r>
      <rPr>
        <b/>
        <vertAlign val="superscript"/>
        <sz val="10"/>
        <color theme="0"/>
        <rFont val="Calibri Light"/>
        <family val="2"/>
        <scheme val="major"/>
      </rPr>
      <t>T</t>
    </r>
    <r>
      <rPr>
        <b/>
        <sz val="10"/>
        <color theme="0"/>
        <rFont val="Calibri Light"/>
        <family val="2"/>
        <scheme val="major"/>
      </rPr>
      <t>y</t>
    </r>
  </si>
  <si>
    <t xml:space="preserve">O modelo é altamente significativo, segundo teste estatístico. </t>
  </si>
  <si>
    <t xml:space="preserve"> ln(Y) = α + β1ln(L) + β2ln(K)</t>
  </si>
  <si>
    <t>ê(t)</t>
  </si>
  <si>
    <t>ê(t-1)</t>
  </si>
  <si>
    <t>û(t)</t>
  </si>
  <si>
    <t>Variável X 1</t>
  </si>
  <si>
    <t>rho ^</t>
  </si>
  <si>
    <t>sigma² ^</t>
  </si>
  <si>
    <t>S(rho)</t>
  </si>
  <si>
    <t>Não rejeita H0, pois o valor absoluto de t(calc) é menor do que o valor de t(crit).</t>
  </si>
  <si>
    <t>ê(t) - ê(t-1)</t>
  </si>
  <si>
    <t>DM</t>
  </si>
  <si>
    <t>A cada aumento de 1 dia em β1(dias trabalhados) aumenta 34.928,44 em Y (produto real)</t>
  </si>
  <si>
    <t>Correlograma</t>
  </si>
  <si>
    <t>Casos</t>
  </si>
  <si>
    <t>Média</t>
  </si>
  <si>
    <t>Variância</t>
  </si>
  <si>
    <t>Lags</t>
  </si>
  <si>
    <t>rho</t>
  </si>
  <si>
    <t>IC (inf)</t>
  </si>
  <si>
    <t>IC (sup)</t>
  </si>
  <si>
    <t>A cada aumento de 1 unidade em β1(volume de capital) aumenta 11.737,92 em Y (produto real)</t>
  </si>
  <si>
    <t>Não rejeita hipótese nula.</t>
  </si>
  <si>
    <t xml:space="preserve"> Teste Breusch-Godfrey</t>
  </si>
  <si>
    <t>Teste Durbin-Watson</t>
  </si>
  <si>
    <t>ê(t-2)</t>
  </si>
  <si>
    <t>X1(t)</t>
  </si>
  <si>
    <t>X2(t)</t>
  </si>
  <si>
    <t>X1(t-1)</t>
  </si>
  <si>
    <t>X2(t-1)</t>
  </si>
  <si>
    <t>X3</t>
  </si>
  <si>
    <t>Variável X 2</t>
  </si>
  <si>
    <t>Variável X 3</t>
  </si>
  <si>
    <t>Chi²(crit)</t>
  </si>
  <si>
    <t>Não rejeita hipósete nula. Não há indícios de autocorrelação.</t>
  </si>
  <si>
    <t>CORREÇÃO DO MODELO VIA MÍNIMOS QUADRADOS GENERALIZADOS FACTÍVEIS (MQGF)</t>
  </si>
  <si>
    <r>
      <t>(X</t>
    </r>
    <r>
      <rPr>
        <vertAlign val="superscript"/>
        <sz val="10"/>
        <color theme="1"/>
        <rFont val="Calibri"/>
        <family val="2"/>
        <scheme val="minor"/>
      </rPr>
      <t>T</t>
    </r>
    <r>
      <rPr>
        <sz val="10"/>
        <color theme="1"/>
        <rFont val="Calibri"/>
        <family val="2"/>
        <scheme val="minor"/>
      </rPr>
      <t>V</t>
    </r>
    <r>
      <rPr>
        <vertAlign val="superscript"/>
        <sz val="10"/>
        <color theme="1"/>
        <rFont val="Calibri"/>
        <family val="2"/>
        <scheme val="minor"/>
      </rPr>
      <t>-1</t>
    </r>
    <r>
      <rPr>
        <sz val="10"/>
        <color theme="1"/>
        <rFont val="Calibri"/>
        <family val="2"/>
        <scheme val="minor"/>
      </rPr>
      <t>X)</t>
    </r>
    <r>
      <rPr>
        <vertAlign val="superscript"/>
        <sz val="10"/>
        <color theme="1"/>
        <rFont val="Calibri"/>
        <family val="2"/>
        <scheme val="minor"/>
      </rPr>
      <t>-1</t>
    </r>
  </si>
  <si>
    <r>
      <t>X</t>
    </r>
    <r>
      <rPr>
        <vertAlign val="superscript"/>
        <sz val="10"/>
        <color theme="1"/>
        <rFont val="Calibri"/>
        <family val="2"/>
        <scheme val="minor"/>
      </rPr>
      <t>T</t>
    </r>
    <r>
      <rPr>
        <sz val="10"/>
        <color theme="1"/>
        <rFont val="Calibri"/>
        <family val="2"/>
        <scheme val="minor"/>
      </rPr>
      <t>V</t>
    </r>
    <r>
      <rPr>
        <vertAlign val="superscript"/>
        <sz val="10"/>
        <color theme="1"/>
        <rFont val="Calibri"/>
        <family val="2"/>
        <scheme val="minor"/>
      </rPr>
      <t>-1</t>
    </r>
    <r>
      <rPr>
        <sz val="10"/>
        <color theme="1"/>
        <rFont val="Calibri"/>
        <family val="2"/>
        <scheme val="minor"/>
      </rPr>
      <t>y</t>
    </r>
  </si>
  <si>
    <t>A cada aumento de 1 dia em β1(dias trabalhados) aumenta 35814,06 em Y (produto real)</t>
  </si>
  <si>
    <t>A cada aumento de 1 unidade em β1(volume de capital) aumenta 11461,64 em Y (produto real)</t>
  </si>
  <si>
    <t xml:space="preserve">Não houve grande diferença entre os resultados do primeiro modelo de MQO aplicado. </t>
  </si>
  <si>
    <t xml:space="preserve">Não houve resultado de autocorrelação neste modelo de regressão. </t>
  </si>
  <si>
    <t>B</t>
  </si>
  <si>
    <t>Bárbara</t>
  </si>
  <si>
    <t>Sara</t>
  </si>
  <si>
    <t>A</t>
  </si>
  <si>
    <t>Marco</t>
  </si>
  <si>
    <t>C</t>
  </si>
  <si>
    <t>Elisa</t>
  </si>
  <si>
    <t>Flávio</t>
  </si>
  <si>
    <t>Ticiana</t>
  </si>
  <si>
    <t>Rafael</t>
  </si>
  <si>
    <t>Pietra</t>
  </si>
  <si>
    <t>Dênis</t>
  </si>
  <si>
    <t>Julia</t>
  </si>
  <si>
    <t>Caio</t>
  </si>
  <si>
    <t>Karol</t>
  </si>
  <si>
    <t>Beto</t>
  </si>
  <si>
    <t>Paula</t>
  </si>
  <si>
    <t>André</t>
  </si>
  <si>
    <t>D</t>
  </si>
  <si>
    <t>X</t>
  </si>
  <si>
    <t>Prof.</t>
  </si>
  <si>
    <r>
      <t>6) (1.50 pontos)</t>
    </r>
    <r>
      <rPr>
        <sz val="12"/>
        <color theme="1"/>
        <rFont val="Calibri"/>
        <family val="2"/>
        <scheme val="minor"/>
      </rPr>
      <t xml:space="preserve"> O que você consegue concluir, diante das evidências encontradas?</t>
    </r>
  </si>
  <si>
    <r>
      <rPr>
        <b/>
        <sz val="12"/>
        <color theme="1"/>
        <rFont val="Calibri"/>
        <family val="2"/>
        <scheme val="minor"/>
      </rPr>
      <t>5) (1.50 pontos)</t>
    </r>
    <r>
      <rPr>
        <sz val="12"/>
        <color theme="1"/>
        <rFont val="Calibri"/>
        <family val="2"/>
        <scheme val="minor"/>
      </rPr>
      <t xml:space="preserve"> Existe quebra estrutural entre a universidade B e as demais? Teste isso e avalie os resultados.</t>
    </r>
  </si>
  <si>
    <r>
      <rPr>
        <b/>
        <sz val="12"/>
        <color theme="1"/>
        <rFont val="Calibri"/>
        <family val="2"/>
        <scheme val="minor"/>
      </rPr>
      <t xml:space="preserve">4) (1.50 pontos) </t>
    </r>
    <r>
      <rPr>
        <sz val="12"/>
        <color theme="1"/>
        <rFont val="Calibri"/>
        <family val="2"/>
        <scheme val="minor"/>
      </rPr>
      <t>Faça um modelo de regressão no qual haja uma quebra estrutural após os 20 anos de docência (X &gt; 20).</t>
    </r>
  </si>
  <si>
    <r>
      <rPr>
        <b/>
        <sz val="12"/>
        <color theme="1"/>
        <rFont val="Calibri"/>
        <family val="2"/>
        <scheme val="minor"/>
      </rPr>
      <t xml:space="preserve">3) (2.00 pontos) </t>
    </r>
    <r>
      <rPr>
        <sz val="12"/>
        <color theme="1"/>
        <rFont val="Calibri"/>
        <family val="2"/>
        <scheme val="minor"/>
      </rPr>
      <t>Refaça o modelo do item (2), adicionando a variável sexo. O que aconteceu? Explique com suas palavras.</t>
    </r>
  </si>
  <si>
    <r>
      <rPr>
        <b/>
        <sz val="12"/>
        <color theme="1"/>
        <rFont val="Calibri"/>
        <family val="2"/>
        <scheme val="minor"/>
      </rPr>
      <t xml:space="preserve">2) (2.00 pontos) </t>
    </r>
    <r>
      <rPr>
        <sz val="12"/>
        <color theme="1"/>
        <rFont val="Calibri"/>
        <family val="2"/>
        <scheme val="minor"/>
      </rPr>
      <t>Estime outro modelo de regressão, no qual você consiga observar o impacto de cada uma das universidades.</t>
    </r>
  </si>
  <si>
    <r>
      <t xml:space="preserve">Este exercício vale </t>
    </r>
    <r>
      <rPr>
        <u/>
        <sz val="12"/>
        <color theme="1"/>
        <rFont val="Calibri"/>
        <family val="2"/>
        <scheme val="minor"/>
      </rPr>
      <t>17,5% (dezessete porcento e cinco décimos) da nota da P2</t>
    </r>
    <r>
      <rPr>
        <sz val="12"/>
        <color theme="1"/>
        <rFont val="Calibri"/>
        <family val="2"/>
        <scheme val="minor"/>
      </rPr>
      <t>. A nota desta prova será ponderada junto às demais notas da Prova 2, compondo a nota da P2. Faça o que é pedido, sempre utilizando (</t>
    </r>
    <r>
      <rPr>
        <b/>
        <u/>
        <sz val="12"/>
        <color theme="1"/>
        <rFont val="Calibri"/>
        <family val="2"/>
        <scheme val="minor"/>
      </rPr>
      <t>a não ser que seja solicitado o contrário</t>
    </r>
    <r>
      <rPr>
        <sz val="12"/>
        <color theme="1"/>
        <rFont val="Calibri"/>
        <family val="2"/>
        <scheme val="minor"/>
      </rPr>
      <t xml:space="preserve">) álgebra matricial. </t>
    </r>
    <r>
      <rPr>
        <u/>
        <sz val="12"/>
        <color theme="1"/>
        <rFont val="Calibri"/>
        <family val="2"/>
        <scheme val="minor"/>
      </rPr>
      <t>Deixe todas as fórmulas indicadas</t>
    </r>
    <r>
      <rPr>
        <sz val="12"/>
        <color theme="1"/>
        <rFont val="Calibri"/>
        <family val="2"/>
        <scheme val="minor"/>
      </rPr>
      <t xml:space="preserve">, sob pena de perder nota!
Você recebeu essa prova em 01/06. Faça a QUESTÃO 4 e devolva-a </t>
    </r>
    <r>
      <rPr>
        <b/>
        <u/>
        <sz val="12"/>
        <color theme="1"/>
        <rFont val="Calibri"/>
        <family val="2"/>
        <scheme val="minor"/>
      </rPr>
      <t>até 11/06</t>
    </r>
    <r>
      <rPr>
        <sz val="12"/>
        <color theme="1"/>
        <rFont val="Calibri"/>
        <family val="2"/>
        <scheme val="minor"/>
      </rPr>
      <t xml:space="preserve">, antes do horário da aula (19h30). Ao terminar a sua prova, </t>
    </r>
    <r>
      <rPr>
        <b/>
        <u/>
        <sz val="12"/>
        <color theme="1"/>
        <rFont val="Calibri"/>
        <family val="2"/>
        <scheme val="minor"/>
      </rPr>
      <t>SALVE O ARQUIVO E ENVIE PARA O E-MAIL</t>
    </r>
    <r>
      <rPr>
        <sz val="12"/>
        <color theme="1"/>
        <rFont val="Calibri"/>
        <family val="2"/>
        <scheme val="minor"/>
      </rPr>
      <t xml:space="preserve"> pier.francesco@esamc.br!</t>
    </r>
  </si>
  <si>
    <r>
      <rPr>
        <b/>
        <sz val="12"/>
        <color theme="1"/>
        <rFont val="Calibri"/>
        <family val="2"/>
        <scheme val="minor"/>
      </rPr>
      <t xml:space="preserve">1) (1.50 pontos) </t>
    </r>
    <r>
      <rPr>
        <sz val="12"/>
        <color theme="1"/>
        <rFont val="Calibri"/>
        <family val="2"/>
        <scheme val="minor"/>
      </rPr>
      <t>Estime um modelo de regressão no qual você use as variáveis Y, X e D, sendo que D será "é ou não da Universidade A".</t>
    </r>
  </si>
  <si>
    <r>
      <rPr>
        <b/>
        <sz val="13"/>
        <color rgb="FFFF0000"/>
        <rFont val="Calibri"/>
        <family val="2"/>
        <scheme val="minor"/>
      </rPr>
      <t>Prova 2 / Parte 4</t>
    </r>
    <r>
      <rPr>
        <sz val="13"/>
        <color rgb="FFFF0000"/>
        <rFont val="Calibri"/>
        <family val="2"/>
        <scheme val="minor"/>
      </rPr>
      <t xml:space="preserve"> (Variáveis Binárias)</t>
    </r>
  </si>
  <si>
    <r>
      <t xml:space="preserve">USE APENAS O MÉTODO DIRETO! Cuidado, porém, para não esquecer de interpretar </t>
    </r>
    <r>
      <rPr>
        <b/>
        <u/>
        <sz val="12"/>
        <color rgb="FFFF0000"/>
        <rFont val="Calibri"/>
        <family val="2"/>
        <scheme val="minor"/>
      </rPr>
      <t>tudo</t>
    </r>
    <r>
      <rPr>
        <sz val="12"/>
        <color rgb="FFFF0000"/>
        <rFont val="Calibri"/>
        <family val="2"/>
        <scheme val="minor"/>
      </rPr>
      <t xml:space="preserve"> (ANOVA, testes-T, coeficientes, R²...) nos itens (1) a (4)!</t>
    </r>
  </si>
  <si>
    <t>Você recebeu os dados abaixo, referentes ao salário de 15 professores (Y, em R$ mil por ano), anos de docência após concluir o doutorado (X) e universidade em que trabalha (D). Cuidado: você também sabe os nomes deles(as). Faça o que é pedido, na ordem.</t>
  </si>
  <si>
    <t>D(A=1)</t>
  </si>
  <si>
    <t>D(B=1)</t>
  </si>
  <si>
    <t>D(C=1)</t>
  </si>
  <si>
    <t>Z</t>
  </si>
  <si>
    <t xml:space="preserve">Homem </t>
  </si>
  <si>
    <t>Mulher</t>
  </si>
  <si>
    <t>Z(Mulher = 1)</t>
  </si>
  <si>
    <t>Item 1</t>
  </si>
  <si>
    <t>Item 2</t>
  </si>
  <si>
    <t>Item 3</t>
  </si>
  <si>
    <t>Item 4</t>
  </si>
  <si>
    <t>X &gt;20</t>
  </si>
  <si>
    <t>Item 5</t>
  </si>
  <si>
    <t>Item 6</t>
  </si>
  <si>
    <t>Rejeitamos H0. O modelo é significativo.</t>
  </si>
  <si>
    <t xml:space="preserve">Rejeitamos H0 para todas as variáveis. </t>
  </si>
  <si>
    <t>Rejeitamos H0.</t>
  </si>
  <si>
    <t xml:space="preserve">Rejeitamos H0 para todos. </t>
  </si>
  <si>
    <t xml:space="preserve">Doscentes mulheres têm salário 5% menor </t>
  </si>
  <si>
    <t>Com certeza há alguma anomalia nos modelos onde testamos a variável com a universidade A e B, pois os resultados são os mesmos, mas não saberia testar estatisticamente esta quebra estrutural.</t>
  </si>
  <si>
    <t>Universidade A no último modelo há quebra estrutural</t>
  </si>
  <si>
    <t>Universidade B há redução no salário de 14% .</t>
  </si>
  <si>
    <t>Universidade C há redução no salário de 13%.</t>
  </si>
  <si>
    <t xml:space="preserve">No último modelo executado. </t>
  </si>
  <si>
    <t>Apenas no primeiro modelo o R² ajustado foi significativo, nos demais ele foi negativo.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</si>
</sst>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164" formatCode="0.0000"/>
    <numFmt numFmtId="165" formatCode="#,##0.0"/>
    <numFmt numFmtId="166" formatCode="#,##0.0000"/>
    <numFmt numFmtId="167" formatCode="#,##0.00000"/>
    <numFmt numFmtId="168" formatCode="#,##0.000000"/>
    <numFmt numFmtId="169" formatCode="0.000000"/>
    <numFmt numFmtId="170" formatCode="0.000%"/>
    <numFmt numFmtId="171" formatCode="0.000"/>
    <numFmt numFmtId="172" formatCode="0.0000000"/>
    <numFmt numFmtId="173" formatCode="#,##0.000"/>
    <numFmt numFmtId="174" formatCode="0.0"/>
  </numFmts>
  <fonts count="5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3"/>
      <color rgb="FFFF0000"/>
      <name val="Calibri"/>
      <family val="2"/>
      <scheme val="minor"/>
    </font>
    <font>
      <b/>
      <sz val="13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2"/>
      <color theme="1"/>
      <name val="Calibri"/>
      <family val="2"/>
    </font>
    <font>
      <vertAlign val="subscript"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vertAlign val="subscript"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rgb="FFFF0000"/>
      <name val="Calibri"/>
      <family val="2"/>
    </font>
    <font>
      <vertAlign val="subscript"/>
      <sz val="12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indexed="8"/>
      <name val="Calibri Light"/>
      <family val="2"/>
      <scheme val="major"/>
    </font>
    <font>
      <b/>
      <sz val="12"/>
      <color theme="1"/>
      <name val="Calibri Light"/>
      <family val="2"/>
      <scheme val="major"/>
    </font>
    <font>
      <b/>
      <vertAlign val="subscript"/>
      <sz val="12"/>
      <color theme="1"/>
      <name val="Calibri Light"/>
      <family val="2"/>
      <scheme val="major"/>
    </font>
    <font>
      <sz val="11"/>
      <color theme="1"/>
      <name val="Calibri Light"/>
      <family val="2"/>
      <scheme val="major"/>
    </font>
    <font>
      <sz val="12"/>
      <color theme="1"/>
      <name val="Calibri Light"/>
      <family val="2"/>
      <scheme val="major"/>
    </font>
    <font>
      <sz val="11"/>
      <name val="Calibri Light"/>
      <family val="2"/>
      <scheme val="major"/>
    </font>
    <font>
      <b/>
      <sz val="10"/>
      <name val="Calibri Light"/>
      <family val="2"/>
      <scheme val="major"/>
    </font>
    <font>
      <b/>
      <sz val="11"/>
      <name val="Calibri Light"/>
      <family val="2"/>
      <scheme val="major"/>
    </font>
    <font>
      <b/>
      <vertAlign val="superscript"/>
      <sz val="10"/>
      <name val="Calibri Light"/>
      <family val="2"/>
      <scheme val="major"/>
    </font>
    <font>
      <b/>
      <vertAlign val="subscript"/>
      <sz val="10"/>
      <name val="Calibri Light"/>
      <family val="2"/>
      <scheme val="major"/>
    </font>
    <font>
      <sz val="10"/>
      <name val="Calibri Light"/>
      <family val="2"/>
      <scheme val="major"/>
    </font>
    <font>
      <i/>
      <sz val="11"/>
      <color theme="1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b/>
      <sz val="12"/>
      <color rgb="FFFF0000"/>
      <name val="Calibri Light"/>
      <family val="2"/>
      <scheme val="major"/>
    </font>
    <font>
      <b/>
      <vertAlign val="subscript"/>
      <sz val="12"/>
      <color rgb="FFFF0000"/>
      <name val="Calibri Light"/>
      <family val="2"/>
      <scheme val="major"/>
    </font>
    <font>
      <b/>
      <sz val="16"/>
      <color theme="1"/>
      <name val="Calibri Light"/>
      <family val="2"/>
      <scheme val="maj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 Light"/>
      <family val="2"/>
      <scheme val="major"/>
    </font>
    <font>
      <sz val="10"/>
      <color theme="1"/>
      <name val="Calibri Light"/>
      <family val="2"/>
      <scheme val="major"/>
    </font>
    <font>
      <sz val="9"/>
      <color theme="1"/>
      <name val="Calibri Light"/>
      <family val="2"/>
      <scheme val="major"/>
    </font>
    <font>
      <b/>
      <vertAlign val="superscript"/>
      <sz val="10"/>
      <name val="Calibri"/>
      <family val="2"/>
      <scheme val="minor"/>
    </font>
    <font>
      <b/>
      <sz val="12"/>
      <name val="Calibri Light"/>
      <family val="2"/>
      <scheme val="major"/>
    </font>
    <font>
      <sz val="12"/>
      <color theme="0"/>
      <name val="Calibri Light"/>
      <family val="2"/>
      <scheme val="major"/>
    </font>
    <font>
      <sz val="12"/>
      <name val="Calibri Light"/>
      <family val="2"/>
      <scheme val="major"/>
    </font>
    <font>
      <b/>
      <sz val="12"/>
      <color theme="0"/>
      <name val="Calibri Light"/>
      <family val="2"/>
      <scheme val="major"/>
    </font>
    <font>
      <b/>
      <vertAlign val="superscript"/>
      <sz val="10"/>
      <color theme="0"/>
      <name val="Calibri Light"/>
      <family val="2"/>
      <scheme val="major"/>
    </font>
    <font>
      <b/>
      <sz val="10"/>
      <color theme="0"/>
      <name val="Calibri Light"/>
      <family val="2"/>
      <scheme val="major"/>
    </font>
    <font>
      <b/>
      <sz val="11"/>
      <color theme="5"/>
      <name val="Calibri Light"/>
      <family val="2"/>
      <scheme val="maj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vertAlign val="superscript"/>
      <sz val="10"/>
      <color theme="1"/>
      <name val="Calibri"/>
      <family val="2"/>
      <scheme val="minor"/>
    </font>
    <font>
      <b/>
      <u/>
      <sz val="12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-0.249977111117893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9" fontId="18" fillId="0" borderId="0" applyFont="0" applyFill="0" applyBorder="0" applyAlignment="0" applyProtection="0"/>
  </cellStyleXfs>
  <cellXfs count="380">
    <xf numFmtId="0" fontId="0" fillId="0" borderId="0" xfId="0"/>
    <xf numFmtId="0" fontId="2" fillId="0" borderId="0" xfId="0" applyFont="1" applyAlignment="1" applyProtection="1">
      <alignment horizontal="center" vertical="center"/>
      <protection hidden="1"/>
    </xf>
    <xf numFmtId="0" fontId="2" fillId="0" borderId="0" xfId="0" applyFont="1" applyAlignment="1" applyProtection="1">
      <alignment horizontal="left" vertical="center"/>
      <protection hidden="1"/>
    </xf>
    <xf numFmtId="0" fontId="1" fillId="0" borderId="0" xfId="0" applyFont="1" applyAlignment="1" applyProtection="1">
      <alignment horizontal="left" vertical="center"/>
      <protection hidden="1"/>
    </xf>
    <xf numFmtId="2" fontId="2" fillId="0" borderId="0" xfId="0" applyNumberFormat="1" applyFont="1" applyAlignment="1" applyProtection="1">
      <alignment horizontal="center" vertical="center"/>
      <protection hidden="1"/>
    </xf>
    <xf numFmtId="0" fontId="1" fillId="0" borderId="1" xfId="0" applyFont="1" applyBorder="1" applyAlignment="1" applyProtection="1">
      <alignment horizontal="center" vertical="center"/>
      <protection hidden="1"/>
    </xf>
    <xf numFmtId="3" fontId="2" fillId="0" borderId="1" xfId="0" applyNumberFormat="1" applyFont="1" applyBorder="1" applyAlignment="1" applyProtection="1">
      <alignment horizontal="center" vertical="center"/>
      <protection hidden="1"/>
    </xf>
    <xf numFmtId="2" fontId="2" fillId="0" borderId="1" xfId="0" applyNumberFormat="1" applyFont="1" applyBorder="1" applyAlignment="1" applyProtection="1">
      <alignment horizontal="center" vertical="center"/>
      <protection hidden="1"/>
    </xf>
    <xf numFmtId="165" fontId="2" fillId="0" borderId="1" xfId="0" applyNumberFormat="1" applyFont="1" applyBorder="1" applyAlignment="1" applyProtection="1">
      <alignment horizontal="center" vertical="center"/>
      <protection hidden="1"/>
    </xf>
    <xf numFmtId="164" fontId="2" fillId="0" borderId="0" xfId="0" applyNumberFormat="1" applyFont="1" applyAlignment="1" applyProtection="1">
      <alignment horizontal="center" vertical="center"/>
      <protection hidden="1"/>
    </xf>
    <xf numFmtId="0" fontId="13" fillId="3" borderId="1" xfId="0" applyFont="1" applyFill="1" applyBorder="1" applyAlignment="1">
      <alignment horizontal="center" vertical="center"/>
    </xf>
    <xf numFmtId="165" fontId="14" fillId="3" borderId="1" xfId="0" applyNumberFormat="1" applyFont="1" applyFill="1" applyBorder="1" applyAlignment="1">
      <alignment horizontal="center" vertical="center"/>
    </xf>
    <xf numFmtId="0" fontId="0" fillId="0" borderId="0" xfId="0" applyFill="1" applyBorder="1" applyAlignment="1"/>
    <xf numFmtId="0" fontId="0" fillId="0" borderId="3" xfId="0" applyFill="1" applyBorder="1" applyAlignment="1"/>
    <xf numFmtId="0" fontId="19" fillId="0" borderId="10" xfId="0" applyFont="1" applyFill="1" applyBorder="1" applyAlignment="1">
      <alignment horizontal="center"/>
    </xf>
    <xf numFmtId="0" fontId="19" fillId="0" borderId="10" xfId="0" applyFont="1" applyFill="1" applyBorder="1" applyAlignment="1">
      <alignment horizontal="centerContinuous"/>
    </xf>
    <xf numFmtId="0" fontId="20" fillId="0" borderId="4" xfId="0" applyFont="1" applyBorder="1" applyAlignment="1">
      <alignment horizontal="center" vertical="center"/>
    </xf>
    <xf numFmtId="0" fontId="20" fillId="0" borderId="8" xfId="0" applyFont="1" applyBorder="1" applyAlignment="1">
      <alignment horizontal="center" vertical="center"/>
    </xf>
    <xf numFmtId="0" fontId="23" fillId="0" borderId="0" xfId="0" applyFont="1"/>
    <xf numFmtId="0" fontId="25" fillId="4" borderId="0" xfId="0" applyFont="1" applyFill="1" applyBorder="1" applyAlignment="1">
      <alignment horizontal="center" vertical="center"/>
    </xf>
    <xf numFmtId="0" fontId="26" fillId="4" borderId="5" xfId="0" applyFont="1" applyFill="1" applyBorder="1" applyAlignment="1">
      <alignment horizontal="center" vertical="center"/>
    </xf>
    <xf numFmtId="0" fontId="25" fillId="4" borderId="7" xfId="0" applyFont="1" applyFill="1" applyBorder="1" applyAlignment="1">
      <alignment horizontal="center" vertical="center"/>
    </xf>
    <xf numFmtId="0" fontId="26" fillId="4" borderId="0" xfId="0" applyFont="1" applyFill="1" applyBorder="1" applyAlignment="1">
      <alignment horizontal="center" vertical="center"/>
    </xf>
    <xf numFmtId="0" fontId="27" fillId="4" borderId="0" xfId="0" applyFont="1" applyFill="1" applyBorder="1" applyAlignment="1">
      <alignment horizontal="center" vertical="center"/>
    </xf>
    <xf numFmtId="0" fontId="26" fillId="4" borderId="4" xfId="0" applyFont="1" applyFill="1" applyBorder="1" applyAlignment="1">
      <alignment horizontal="center" vertical="center"/>
    </xf>
    <xf numFmtId="0" fontId="25" fillId="4" borderId="2" xfId="0" applyFont="1" applyFill="1" applyBorder="1" applyAlignment="1">
      <alignment horizontal="center" vertical="center"/>
    </xf>
    <xf numFmtId="0" fontId="30" fillId="4" borderId="0" xfId="0" applyFont="1" applyFill="1" applyBorder="1" applyAlignment="1">
      <alignment horizontal="center" vertical="center"/>
    </xf>
    <xf numFmtId="0" fontId="26" fillId="4" borderId="8" xfId="0" applyFont="1" applyFill="1" applyBorder="1" applyAlignment="1">
      <alignment horizontal="center" vertical="center"/>
    </xf>
    <xf numFmtId="0" fontId="25" fillId="4" borderId="9" xfId="0" applyFont="1" applyFill="1" applyBorder="1" applyAlignment="1">
      <alignment horizontal="center" vertical="center"/>
    </xf>
    <xf numFmtId="0" fontId="31" fillId="0" borderId="10" xfId="0" applyFont="1" applyFill="1" applyBorder="1" applyAlignment="1">
      <alignment horizontal="centerContinuous"/>
    </xf>
    <xf numFmtId="0" fontId="23" fillId="0" borderId="0" xfId="0" applyFont="1" applyFill="1" applyBorder="1" applyAlignment="1"/>
    <xf numFmtId="0" fontId="23" fillId="0" borderId="3" xfId="0" applyFont="1" applyFill="1" applyBorder="1" applyAlignment="1"/>
    <xf numFmtId="0" fontId="31" fillId="0" borderId="10" xfId="0" applyFont="1" applyFill="1" applyBorder="1" applyAlignment="1">
      <alignment horizontal="center"/>
    </xf>
    <xf numFmtId="0" fontId="26" fillId="4" borderId="5" xfId="0" applyFont="1" applyFill="1" applyBorder="1" applyAlignment="1">
      <alignment horizontal="center" vertical="center"/>
    </xf>
    <xf numFmtId="0" fontId="23" fillId="4" borderId="7" xfId="0" applyFont="1" applyFill="1" applyBorder="1" applyAlignment="1">
      <alignment horizontal="center" vertical="center"/>
    </xf>
    <xf numFmtId="0" fontId="26" fillId="4" borderId="2" xfId="0" applyFont="1" applyFill="1" applyBorder="1" applyAlignment="1">
      <alignment horizontal="center" vertical="center"/>
    </xf>
    <xf numFmtId="0" fontId="23" fillId="0" borderId="0" xfId="0" applyFont="1" applyBorder="1" applyAlignment="1">
      <alignment horizontal="center" vertical="center"/>
    </xf>
    <xf numFmtId="0" fontId="23" fillId="0" borderId="2" xfId="0" applyFont="1" applyBorder="1" applyAlignment="1">
      <alignment horizontal="center" vertical="center"/>
    </xf>
    <xf numFmtId="0" fontId="23" fillId="0" borderId="3" xfId="0" applyFont="1" applyBorder="1" applyAlignment="1">
      <alignment horizontal="center" vertical="center"/>
    </xf>
    <xf numFmtId="0" fontId="23" fillId="0" borderId="9" xfId="0" applyFont="1" applyBorder="1" applyAlignment="1">
      <alignment horizontal="center" vertical="center"/>
    </xf>
    <xf numFmtId="9" fontId="25" fillId="4" borderId="2" xfId="1" applyFont="1" applyFill="1" applyBorder="1" applyAlignment="1">
      <alignment horizontal="center" vertical="center"/>
    </xf>
    <xf numFmtId="9" fontId="25" fillId="4" borderId="9" xfId="1" applyFont="1" applyFill="1" applyBorder="1" applyAlignment="1">
      <alignment horizontal="center" vertical="center"/>
    </xf>
    <xf numFmtId="0" fontId="21" fillId="4" borderId="1" xfId="0" applyFont="1" applyFill="1" applyBorder="1" applyAlignment="1" applyProtection="1">
      <alignment horizontal="center" vertical="center"/>
      <protection hidden="1"/>
    </xf>
    <xf numFmtId="3" fontId="24" fillId="4" borderId="1" xfId="0" applyNumberFormat="1" applyFont="1" applyFill="1" applyBorder="1" applyAlignment="1" applyProtection="1">
      <alignment horizontal="center" vertical="center"/>
      <protection hidden="1"/>
    </xf>
    <xf numFmtId="2" fontId="24" fillId="4" borderId="1" xfId="0" applyNumberFormat="1" applyFont="1" applyFill="1" applyBorder="1" applyAlignment="1" applyProtection="1">
      <alignment horizontal="center" vertical="center"/>
      <protection hidden="1"/>
    </xf>
    <xf numFmtId="0" fontId="23" fillId="0" borderId="0" xfId="0" applyFont="1" applyFill="1" applyBorder="1" applyAlignment="1">
      <alignment horizontal="center" vertical="center"/>
    </xf>
    <xf numFmtId="0" fontId="23" fillId="0" borderId="3" xfId="0" applyFont="1" applyFill="1" applyBorder="1" applyAlignment="1">
      <alignment horizontal="center" vertical="center"/>
    </xf>
    <xf numFmtId="0" fontId="26" fillId="4" borderId="11" xfId="0" applyFont="1" applyFill="1" applyBorder="1" applyAlignment="1">
      <alignment horizontal="center" vertical="center"/>
    </xf>
    <xf numFmtId="0" fontId="25" fillId="4" borderId="13" xfId="0" applyFont="1" applyFill="1" applyBorder="1" applyAlignment="1">
      <alignment horizontal="center" vertical="center"/>
    </xf>
    <xf numFmtId="0" fontId="26" fillId="4" borderId="6" xfId="0" applyFont="1" applyFill="1" applyBorder="1" applyAlignment="1">
      <alignment horizontal="center" vertical="center"/>
    </xf>
    <xf numFmtId="0" fontId="26" fillId="4" borderId="11" xfId="0" applyFont="1" applyFill="1" applyBorder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0" fontId="23" fillId="0" borderId="8" xfId="0" applyFont="1" applyBorder="1" applyAlignment="1">
      <alignment horizontal="center" vertical="center"/>
    </xf>
    <xf numFmtId="0" fontId="23" fillId="5" borderId="4" xfId="0" applyFont="1" applyFill="1" applyBorder="1" applyAlignment="1">
      <alignment horizontal="center" vertical="center"/>
    </xf>
    <xf numFmtId="0" fontId="23" fillId="5" borderId="0" xfId="0" applyFont="1" applyFill="1" applyBorder="1" applyAlignment="1">
      <alignment horizontal="center" vertical="center"/>
    </xf>
    <xf numFmtId="0" fontId="23" fillId="5" borderId="9" xfId="0" applyFont="1" applyFill="1" applyBorder="1" applyAlignment="1">
      <alignment horizontal="center" vertical="center"/>
    </xf>
    <xf numFmtId="0" fontId="26" fillId="4" borderId="7" xfId="0" applyFont="1" applyFill="1" applyBorder="1" applyAlignment="1">
      <alignment horizontal="center" vertical="center"/>
    </xf>
    <xf numFmtId="0" fontId="23" fillId="0" borderId="0" xfId="0" applyFont="1" applyBorder="1" applyAlignment="1">
      <alignment horizontal="center"/>
    </xf>
    <xf numFmtId="0" fontId="23" fillId="0" borderId="2" xfId="0" applyFont="1" applyBorder="1" applyAlignment="1">
      <alignment horizontal="center"/>
    </xf>
    <xf numFmtId="0" fontId="23" fillId="0" borderId="2" xfId="0" applyFont="1" applyBorder="1"/>
    <xf numFmtId="0" fontId="32" fillId="0" borderId="0" xfId="0" applyFont="1"/>
    <xf numFmtId="0" fontId="23" fillId="6" borderId="0" xfId="0" applyFont="1" applyFill="1"/>
    <xf numFmtId="0" fontId="27" fillId="4" borderId="5" xfId="0" applyFont="1" applyFill="1" applyBorder="1" applyAlignment="1">
      <alignment horizontal="center" vertical="center"/>
    </xf>
    <xf numFmtId="0" fontId="27" fillId="4" borderId="8" xfId="0" applyFont="1" applyFill="1" applyBorder="1" applyAlignment="1">
      <alignment horizontal="center" vertical="center"/>
    </xf>
    <xf numFmtId="0" fontId="25" fillId="0" borderId="0" xfId="0" applyFont="1" applyFill="1" applyBorder="1" applyAlignment="1">
      <alignment horizontal="center" vertical="center"/>
    </xf>
    <xf numFmtId="0" fontId="23" fillId="0" borderId="0" xfId="0" applyFont="1" applyFill="1" applyBorder="1"/>
    <xf numFmtId="0" fontId="27" fillId="0" borderId="0" xfId="0" applyFont="1" applyFill="1" applyBorder="1" applyAlignment="1">
      <alignment horizontal="center" vertical="center"/>
    </xf>
    <xf numFmtId="0" fontId="21" fillId="4" borderId="14" xfId="0" applyFont="1" applyFill="1" applyBorder="1" applyAlignment="1" applyProtection="1">
      <alignment horizontal="center" vertical="center"/>
      <protection hidden="1"/>
    </xf>
    <xf numFmtId="2" fontId="24" fillId="4" borderId="14" xfId="0" applyNumberFormat="1" applyFont="1" applyFill="1" applyBorder="1" applyAlignment="1" applyProtection="1">
      <alignment horizontal="center" vertical="center"/>
      <protection hidden="1"/>
    </xf>
    <xf numFmtId="0" fontId="21" fillId="0" borderId="0" xfId="0" applyFont="1" applyFill="1" applyBorder="1" applyAlignment="1" applyProtection="1">
      <alignment horizontal="center" vertical="center"/>
      <protection hidden="1"/>
    </xf>
    <xf numFmtId="3" fontId="24" fillId="0" borderId="0" xfId="0" applyNumberFormat="1" applyFont="1" applyFill="1" applyBorder="1" applyAlignment="1" applyProtection="1">
      <alignment horizontal="center" vertical="center"/>
      <protection hidden="1"/>
    </xf>
    <xf numFmtId="3" fontId="24" fillId="4" borderId="0" xfId="0" applyNumberFormat="1" applyFont="1" applyFill="1" applyBorder="1" applyAlignment="1" applyProtection="1">
      <alignment horizontal="center" vertical="center"/>
      <protection hidden="1"/>
    </xf>
    <xf numFmtId="2" fontId="24" fillId="4" borderId="0" xfId="0" applyNumberFormat="1" applyFont="1" applyFill="1" applyBorder="1" applyAlignment="1" applyProtection="1">
      <alignment horizontal="center" vertical="center"/>
      <protection hidden="1"/>
    </xf>
    <xf numFmtId="166" fontId="24" fillId="4" borderId="0" xfId="0" applyNumberFormat="1" applyFont="1" applyFill="1" applyBorder="1" applyAlignment="1" applyProtection="1">
      <alignment horizontal="center" vertical="center"/>
      <protection hidden="1"/>
    </xf>
    <xf numFmtId="167" fontId="24" fillId="4" borderId="0" xfId="0" applyNumberFormat="1" applyFont="1" applyFill="1" applyBorder="1" applyAlignment="1" applyProtection="1">
      <alignment horizontal="center" vertical="center"/>
      <protection hidden="1"/>
    </xf>
    <xf numFmtId="168" fontId="24" fillId="4" borderId="0" xfId="0" applyNumberFormat="1" applyFont="1" applyFill="1" applyBorder="1" applyAlignment="1" applyProtection="1">
      <alignment horizontal="center" vertical="center"/>
      <protection hidden="1"/>
    </xf>
    <xf numFmtId="168" fontId="24" fillId="4" borderId="7" xfId="0" applyNumberFormat="1" applyFont="1" applyFill="1" applyBorder="1" applyAlignment="1" applyProtection="1">
      <alignment horizontal="center" vertical="center"/>
      <protection hidden="1"/>
    </xf>
    <xf numFmtId="168" fontId="24" fillId="4" borderId="9" xfId="0" applyNumberFormat="1" applyFont="1" applyFill="1" applyBorder="1" applyAlignment="1" applyProtection="1">
      <alignment horizontal="center" vertical="center"/>
      <protection hidden="1"/>
    </xf>
    <xf numFmtId="10" fontId="25" fillId="4" borderId="9" xfId="1" applyNumberFormat="1" applyFont="1" applyFill="1" applyBorder="1" applyAlignment="1">
      <alignment horizontal="center" vertical="center"/>
    </xf>
    <xf numFmtId="0" fontId="23" fillId="0" borderId="2" xfId="0" applyFont="1" applyBorder="1" applyAlignment="1">
      <alignment wrapText="1"/>
    </xf>
    <xf numFmtId="0" fontId="23" fillId="0" borderId="0" xfId="0" applyFont="1" applyAlignment="1">
      <alignment vertical="center" wrapText="1"/>
    </xf>
    <xf numFmtId="0" fontId="26" fillId="7" borderId="0" xfId="0" applyFont="1" applyFill="1" applyBorder="1" applyAlignment="1">
      <alignment horizontal="center" vertical="center"/>
    </xf>
    <xf numFmtId="0" fontId="27" fillId="7" borderId="0" xfId="0" applyFont="1" applyFill="1" applyBorder="1" applyAlignment="1">
      <alignment horizontal="center" vertical="center"/>
    </xf>
    <xf numFmtId="0" fontId="30" fillId="7" borderId="0" xfId="0" applyFont="1" applyFill="1" applyBorder="1" applyAlignment="1">
      <alignment horizontal="center" vertical="center"/>
    </xf>
    <xf numFmtId="165" fontId="25" fillId="7" borderId="0" xfId="0" applyNumberFormat="1" applyFont="1" applyFill="1" applyBorder="1" applyAlignment="1">
      <alignment horizontal="center" vertical="center"/>
    </xf>
    <xf numFmtId="0" fontId="25" fillId="7" borderId="0" xfId="0" applyFont="1" applyFill="1" applyBorder="1" applyAlignment="1">
      <alignment horizontal="center" vertical="center"/>
    </xf>
    <xf numFmtId="0" fontId="26" fillId="7" borderId="5" xfId="0" applyFont="1" applyFill="1" applyBorder="1" applyAlignment="1">
      <alignment horizontal="center" vertical="center"/>
    </xf>
    <xf numFmtId="0" fontId="25" fillId="7" borderId="7" xfId="0" applyFont="1" applyFill="1" applyBorder="1" applyAlignment="1">
      <alignment horizontal="center" vertical="center"/>
    </xf>
    <xf numFmtId="0" fontId="26" fillId="7" borderId="4" xfId="0" applyFont="1" applyFill="1" applyBorder="1" applyAlignment="1">
      <alignment horizontal="center" vertical="center"/>
    </xf>
    <xf numFmtId="0" fontId="25" fillId="7" borderId="2" xfId="0" applyFont="1" applyFill="1" applyBorder="1" applyAlignment="1">
      <alignment horizontal="center" vertical="center"/>
    </xf>
    <xf numFmtId="0" fontId="26" fillId="7" borderId="8" xfId="0" applyFont="1" applyFill="1" applyBorder="1" applyAlignment="1">
      <alignment horizontal="center" vertical="center"/>
    </xf>
    <xf numFmtId="0" fontId="23" fillId="7" borderId="7" xfId="0" applyFont="1" applyFill="1" applyBorder="1" applyAlignment="1">
      <alignment horizontal="center" vertical="center"/>
    </xf>
    <xf numFmtId="0" fontId="26" fillId="7" borderId="2" xfId="0" applyFont="1" applyFill="1" applyBorder="1" applyAlignment="1">
      <alignment horizontal="center" vertical="center"/>
    </xf>
    <xf numFmtId="0" fontId="21" fillId="0" borderId="1" xfId="0" applyFont="1" applyBorder="1" applyAlignment="1" applyProtection="1">
      <alignment horizontal="center" vertical="center"/>
      <protection hidden="1"/>
    </xf>
    <xf numFmtId="169" fontId="24" fillId="7" borderId="0" xfId="0" applyNumberFormat="1" applyFont="1" applyFill="1" applyBorder="1" applyAlignment="1" applyProtection="1">
      <alignment horizontal="center" vertical="center"/>
      <protection hidden="1"/>
    </xf>
    <xf numFmtId="165" fontId="24" fillId="0" borderId="1" xfId="0" applyNumberFormat="1" applyFont="1" applyBorder="1" applyAlignment="1" applyProtection="1">
      <alignment horizontal="center" vertical="center"/>
      <protection hidden="1"/>
    </xf>
    <xf numFmtId="3" fontId="24" fillId="0" borderId="1" xfId="0" applyNumberFormat="1" applyFont="1" applyBorder="1" applyAlignment="1" applyProtection="1">
      <alignment horizontal="center" vertical="center"/>
      <protection hidden="1"/>
    </xf>
    <xf numFmtId="2" fontId="24" fillId="0" borderId="1" xfId="0" applyNumberFormat="1" applyFont="1" applyBorder="1" applyAlignment="1" applyProtection="1">
      <alignment horizontal="center" vertical="center"/>
      <protection hidden="1"/>
    </xf>
    <xf numFmtId="169" fontId="23" fillId="0" borderId="0" xfId="0" applyNumberFormat="1" applyFont="1"/>
    <xf numFmtId="169" fontId="32" fillId="7" borderId="5" xfId="0" applyNumberFormat="1" applyFont="1" applyFill="1" applyBorder="1" applyAlignment="1">
      <alignment horizontal="center" vertical="center"/>
    </xf>
    <xf numFmtId="169" fontId="24" fillId="7" borderId="7" xfId="0" applyNumberFormat="1" applyFont="1" applyFill="1" applyBorder="1" applyAlignment="1" applyProtection="1">
      <alignment horizontal="center" vertical="center"/>
      <protection hidden="1"/>
    </xf>
    <xf numFmtId="169" fontId="32" fillId="7" borderId="4" xfId="0" applyNumberFormat="1" applyFont="1" applyFill="1" applyBorder="1" applyAlignment="1">
      <alignment horizontal="center" vertical="center"/>
    </xf>
    <xf numFmtId="169" fontId="24" fillId="7" borderId="2" xfId="0" applyNumberFormat="1" applyFont="1" applyFill="1" applyBorder="1" applyAlignment="1" applyProtection="1">
      <alignment horizontal="center" vertical="center"/>
      <protection hidden="1"/>
    </xf>
    <xf numFmtId="169" fontId="32" fillId="7" borderId="8" xfId="0" applyNumberFormat="1" applyFont="1" applyFill="1" applyBorder="1" applyAlignment="1">
      <alignment horizontal="center" vertical="center"/>
    </xf>
    <xf numFmtId="169" fontId="24" fillId="7" borderId="9" xfId="0" applyNumberFormat="1" applyFont="1" applyFill="1" applyBorder="1" applyAlignment="1" applyProtection="1">
      <alignment horizontal="center" vertical="center"/>
      <protection hidden="1"/>
    </xf>
    <xf numFmtId="169" fontId="24" fillId="0" borderId="0" xfId="0" applyNumberFormat="1" applyFont="1"/>
    <xf numFmtId="0" fontId="24" fillId="0" borderId="0" xfId="0" applyFont="1" applyBorder="1" applyAlignment="1">
      <alignment horizontal="center" vertical="center" wrapText="1"/>
    </xf>
    <xf numFmtId="0" fontId="24" fillId="0" borderId="0" xfId="0" applyFont="1" applyBorder="1" applyAlignment="1">
      <alignment vertical="center" wrapText="1"/>
    </xf>
    <xf numFmtId="0" fontId="23" fillId="7" borderId="0" xfId="0" applyFont="1" applyFill="1"/>
    <xf numFmtId="0" fontId="35" fillId="0" borderId="0" xfId="0" applyFont="1"/>
    <xf numFmtId="0" fontId="23" fillId="0" borderId="0" xfId="0" applyFont="1" applyAlignment="1">
      <alignment horizontal="left"/>
    </xf>
    <xf numFmtId="0" fontId="31" fillId="0" borderId="10" xfId="0" applyFont="1" applyFill="1" applyBorder="1" applyAlignment="1">
      <alignment horizontal="left"/>
    </xf>
    <xf numFmtId="0" fontId="23" fillId="0" borderId="0" xfId="0" applyFont="1" applyBorder="1"/>
    <xf numFmtId="0" fontId="31" fillId="0" borderId="0" xfId="0" applyFont="1" applyFill="1" applyBorder="1" applyAlignment="1">
      <alignment horizontal="centerContinuous"/>
    </xf>
    <xf numFmtId="164" fontId="24" fillId="7" borderId="0" xfId="0" applyNumberFormat="1" applyFont="1" applyFill="1" applyBorder="1" applyAlignment="1" applyProtection="1">
      <alignment horizontal="center" vertical="center"/>
      <protection hidden="1"/>
    </xf>
    <xf numFmtId="1" fontId="24" fillId="7" borderId="0" xfId="0" applyNumberFormat="1" applyFont="1" applyFill="1" applyBorder="1" applyAlignment="1" applyProtection="1">
      <alignment horizontal="center" vertical="center"/>
      <protection hidden="1"/>
    </xf>
    <xf numFmtId="0" fontId="26" fillId="7" borderId="6" xfId="0" applyFont="1" applyFill="1" applyBorder="1" applyAlignment="1">
      <alignment horizontal="center" vertical="center"/>
    </xf>
    <xf numFmtId="10" fontId="25" fillId="7" borderId="2" xfId="1" applyNumberFormat="1" applyFont="1" applyFill="1" applyBorder="1" applyAlignment="1">
      <alignment horizontal="center" vertical="center"/>
    </xf>
    <xf numFmtId="10" fontId="25" fillId="7" borderId="9" xfId="1" applyNumberFormat="1" applyFont="1" applyFill="1" applyBorder="1" applyAlignment="1">
      <alignment horizontal="center" vertical="center"/>
    </xf>
    <xf numFmtId="0" fontId="27" fillId="7" borderId="4" xfId="0" applyFont="1" applyFill="1" applyBorder="1" applyAlignment="1">
      <alignment horizontal="center" vertical="center"/>
    </xf>
    <xf numFmtId="0" fontId="25" fillId="7" borderId="9" xfId="0" applyFont="1" applyFill="1" applyBorder="1" applyAlignment="1">
      <alignment horizontal="center" vertical="center"/>
    </xf>
    <xf numFmtId="0" fontId="27" fillId="7" borderId="6" xfId="0" applyFont="1" applyFill="1" applyBorder="1" applyAlignment="1">
      <alignment horizontal="center" vertical="center"/>
    </xf>
    <xf numFmtId="0" fontId="27" fillId="7" borderId="7" xfId="0" applyFont="1" applyFill="1" applyBorder="1" applyAlignment="1">
      <alignment horizontal="center" vertical="center"/>
    </xf>
    <xf numFmtId="0" fontId="30" fillId="7" borderId="8" xfId="0" applyFont="1" applyFill="1" applyBorder="1" applyAlignment="1">
      <alignment horizontal="center" vertical="center"/>
    </xf>
    <xf numFmtId="165" fontId="25" fillId="7" borderId="3" xfId="0" applyNumberFormat="1" applyFont="1" applyFill="1" applyBorder="1" applyAlignment="1">
      <alignment horizontal="center" vertical="center"/>
    </xf>
    <xf numFmtId="0" fontId="25" fillId="7" borderId="3" xfId="0" applyFont="1" applyFill="1" applyBorder="1" applyAlignment="1">
      <alignment horizontal="center" vertical="center"/>
    </xf>
    <xf numFmtId="0" fontId="25" fillId="7" borderId="8" xfId="0" applyFont="1" applyFill="1" applyBorder="1" applyAlignment="1">
      <alignment horizontal="center" vertical="center"/>
    </xf>
    <xf numFmtId="0" fontId="26" fillId="0" borderId="0" xfId="0" applyFont="1" applyFill="1" applyBorder="1" applyAlignment="1">
      <alignment horizontal="center" vertical="center"/>
    </xf>
    <xf numFmtId="170" fontId="25" fillId="7" borderId="9" xfId="1" applyNumberFormat="1" applyFont="1" applyFill="1" applyBorder="1" applyAlignment="1">
      <alignment horizontal="center" vertical="center"/>
    </xf>
    <xf numFmtId="1" fontId="24" fillId="0" borderId="1" xfId="0" applyNumberFormat="1" applyFont="1" applyBorder="1" applyAlignment="1" applyProtection="1">
      <alignment horizontal="center" vertical="center"/>
      <protection hidden="1"/>
    </xf>
    <xf numFmtId="1" fontId="23" fillId="7" borderId="0" xfId="0" applyNumberFormat="1" applyFont="1" applyFill="1" applyBorder="1" applyAlignment="1" applyProtection="1">
      <alignment horizontal="center" vertical="center"/>
      <protection hidden="1"/>
    </xf>
    <xf numFmtId="164" fontId="23" fillId="7" borderId="0" xfId="0" applyNumberFormat="1" applyFont="1" applyFill="1" applyBorder="1" applyAlignment="1" applyProtection="1">
      <alignment horizontal="center" vertical="center"/>
      <protection hidden="1"/>
    </xf>
    <xf numFmtId="164" fontId="39" fillId="7" borderId="0" xfId="0" applyNumberFormat="1" applyFont="1" applyFill="1" applyBorder="1" applyAlignment="1" applyProtection="1">
      <alignment horizontal="center" vertical="center"/>
      <protection hidden="1"/>
    </xf>
    <xf numFmtId="1" fontId="40" fillId="7" borderId="0" xfId="0" applyNumberFormat="1" applyFont="1" applyFill="1" applyBorder="1" applyAlignment="1" applyProtection="1">
      <alignment horizontal="center" vertical="center"/>
      <protection hidden="1"/>
    </xf>
    <xf numFmtId="0" fontId="40" fillId="0" borderId="0" xfId="0" applyFont="1"/>
    <xf numFmtId="164" fontId="40" fillId="7" borderId="0" xfId="0" applyNumberFormat="1" applyFont="1" applyFill="1" applyBorder="1" applyAlignment="1" applyProtection="1">
      <alignment horizontal="center" vertical="center"/>
      <protection hidden="1"/>
    </xf>
    <xf numFmtId="169" fontId="40" fillId="7" borderId="7" xfId="0" applyNumberFormat="1" applyFont="1" applyFill="1" applyBorder="1" applyAlignment="1" applyProtection="1">
      <alignment horizontal="center" vertical="center"/>
      <protection hidden="1"/>
    </xf>
    <xf numFmtId="169" fontId="40" fillId="7" borderId="2" xfId="0" applyNumberFormat="1" applyFont="1" applyFill="1" applyBorder="1" applyAlignment="1" applyProtection="1">
      <alignment horizontal="center" vertical="center"/>
      <protection hidden="1"/>
    </xf>
    <xf numFmtId="169" fontId="40" fillId="7" borderId="9" xfId="0" applyNumberFormat="1" applyFont="1" applyFill="1" applyBorder="1" applyAlignment="1" applyProtection="1">
      <alignment horizontal="center" vertical="center"/>
      <protection hidden="1"/>
    </xf>
    <xf numFmtId="165" fontId="25" fillId="7" borderId="9" xfId="0" applyNumberFormat="1" applyFont="1" applyFill="1" applyBorder="1" applyAlignment="1">
      <alignment horizontal="center" vertical="center"/>
    </xf>
    <xf numFmtId="0" fontId="40" fillId="7" borderId="0" xfId="0" applyFont="1" applyFill="1"/>
    <xf numFmtId="169" fontId="23" fillId="7" borderId="7" xfId="0" applyNumberFormat="1" applyFont="1" applyFill="1" applyBorder="1" applyAlignment="1" applyProtection="1">
      <alignment horizontal="center" vertical="center"/>
      <protection hidden="1"/>
    </xf>
    <xf numFmtId="169" fontId="23" fillId="7" borderId="2" xfId="0" applyNumberFormat="1" applyFont="1" applyFill="1" applyBorder="1" applyAlignment="1" applyProtection="1">
      <alignment horizontal="center" vertical="center"/>
      <protection hidden="1"/>
    </xf>
    <xf numFmtId="169" fontId="23" fillId="7" borderId="9" xfId="0" applyNumberFormat="1" applyFont="1" applyFill="1" applyBorder="1" applyAlignment="1" applyProtection="1">
      <alignment horizontal="center" vertical="center"/>
      <protection hidden="1"/>
    </xf>
    <xf numFmtId="169" fontId="24" fillId="0" borderId="1" xfId="0" applyNumberFormat="1" applyFont="1" applyBorder="1" applyAlignment="1" applyProtection="1">
      <alignment horizontal="center" vertical="center"/>
      <protection hidden="1"/>
    </xf>
    <xf numFmtId="0" fontId="40" fillId="0" borderId="6" xfId="0" applyFont="1" applyBorder="1" applyAlignment="1">
      <alignment horizontal="center" vertical="center"/>
    </xf>
    <xf numFmtId="0" fontId="40" fillId="0" borderId="7" xfId="0" applyFont="1" applyBorder="1" applyAlignment="1">
      <alignment horizontal="center" vertical="center"/>
    </xf>
    <xf numFmtId="0" fontId="40" fillId="0" borderId="4" xfId="0" applyFont="1" applyBorder="1" applyAlignment="1">
      <alignment horizontal="center" vertical="center"/>
    </xf>
    <xf numFmtId="0" fontId="40" fillId="0" borderId="0" xfId="0" applyFont="1" applyBorder="1" applyAlignment="1">
      <alignment horizontal="center" vertical="center"/>
    </xf>
    <xf numFmtId="0" fontId="40" fillId="0" borderId="2" xfId="0" applyFont="1" applyBorder="1" applyAlignment="1">
      <alignment horizontal="center" vertical="center"/>
    </xf>
    <xf numFmtId="0" fontId="40" fillId="0" borderId="8" xfId="0" applyFont="1" applyBorder="1" applyAlignment="1">
      <alignment horizontal="center" vertical="center"/>
    </xf>
    <xf numFmtId="0" fontId="40" fillId="0" borderId="3" xfId="0" applyFont="1" applyBorder="1" applyAlignment="1">
      <alignment horizontal="center" vertical="center"/>
    </xf>
    <xf numFmtId="169" fontId="39" fillId="7" borderId="5" xfId="0" applyNumberFormat="1" applyFont="1" applyFill="1" applyBorder="1" applyAlignment="1">
      <alignment horizontal="center" vertical="center"/>
    </xf>
    <xf numFmtId="169" fontId="39" fillId="7" borderId="0" xfId="0" applyNumberFormat="1" applyFont="1" applyFill="1" applyBorder="1" applyAlignment="1">
      <alignment horizontal="center" vertical="center"/>
    </xf>
    <xf numFmtId="169" fontId="39" fillId="7" borderId="9" xfId="0" applyNumberFormat="1" applyFont="1" applyFill="1" applyBorder="1" applyAlignment="1">
      <alignment horizontal="center" vertical="center"/>
    </xf>
    <xf numFmtId="0" fontId="37" fillId="0" borderId="0" xfId="0" applyFont="1" applyFill="1" applyAlignment="1">
      <alignment horizontal="center" vertical="center"/>
    </xf>
    <xf numFmtId="1" fontId="32" fillId="7" borderId="4" xfId="0" applyNumberFormat="1" applyFont="1" applyFill="1" applyBorder="1" applyAlignment="1" applyProtection="1">
      <alignment horizontal="center" vertical="center"/>
      <protection hidden="1"/>
    </xf>
    <xf numFmtId="164" fontId="32" fillId="7" borderId="4" xfId="0" applyNumberFormat="1" applyFont="1" applyFill="1" applyBorder="1" applyAlignment="1" applyProtection="1">
      <alignment horizontal="center" vertical="center"/>
      <protection hidden="1"/>
    </xf>
    <xf numFmtId="164" fontId="23" fillId="7" borderId="2" xfId="0" applyNumberFormat="1" applyFont="1" applyFill="1" applyBorder="1" applyAlignment="1" applyProtection="1">
      <alignment horizontal="center" vertical="center"/>
      <protection hidden="1"/>
    </xf>
    <xf numFmtId="1" fontId="32" fillId="7" borderId="8" xfId="0" applyNumberFormat="1" applyFont="1" applyFill="1" applyBorder="1" applyAlignment="1" applyProtection="1">
      <alignment horizontal="center" vertical="center"/>
      <protection hidden="1"/>
    </xf>
    <xf numFmtId="164" fontId="23" fillId="7" borderId="9" xfId="0" applyNumberFormat="1" applyFont="1" applyFill="1" applyBorder="1" applyAlignment="1" applyProtection="1">
      <alignment horizontal="center" vertical="center"/>
      <protection hidden="1"/>
    </xf>
    <xf numFmtId="0" fontId="27" fillId="7" borderId="5" xfId="0" applyFont="1" applyFill="1" applyBorder="1" applyAlignment="1">
      <alignment horizontal="center" vertical="center"/>
    </xf>
    <xf numFmtId="0" fontId="42" fillId="3" borderId="1" xfId="0" applyFont="1" applyFill="1" applyBorder="1" applyAlignment="1">
      <alignment horizontal="center" vertical="center"/>
    </xf>
    <xf numFmtId="3" fontId="43" fillId="8" borderId="0" xfId="0" applyNumberFormat="1" applyFont="1" applyFill="1" applyBorder="1" applyAlignment="1">
      <alignment horizontal="center" vertical="center"/>
    </xf>
    <xf numFmtId="165" fontId="44" fillId="3" borderId="1" xfId="0" applyNumberFormat="1" applyFont="1" applyFill="1" applyBorder="1" applyAlignment="1">
      <alignment horizontal="center" vertical="center"/>
    </xf>
    <xf numFmtId="3" fontId="44" fillId="3" borderId="1" xfId="0" applyNumberFormat="1" applyFont="1" applyFill="1" applyBorder="1" applyAlignment="1">
      <alignment horizontal="center" vertical="center"/>
    </xf>
    <xf numFmtId="167" fontId="43" fillId="8" borderId="0" xfId="0" applyNumberFormat="1" applyFont="1" applyFill="1" applyBorder="1" applyAlignment="1">
      <alignment horizontal="center" vertical="center"/>
    </xf>
    <xf numFmtId="167" fontId="45" fillId="8" borderId="5" xfId="0" applyNumberFormat="1" applyFont="1" applyFill="1" applyBorder="1" applyAlignment="1">
      <alignment horizontal="center" vertical="center"/>
    </xf>
    <xf numFmtId="167" fontId="45" fillId="8" borderId="4" xfId="0" applyNumberFormat="1" applyFont="1" applyFill="1" applyBorder="1" applyAlignment="1">
      <alignment horizontal="center" vertical="center"/>
    </xf>
    <xf numFmtId="167" fontId="45" fillId="8" borderId="8" xfId="0" applyNumberFormat="1" applyFont="1" applyFill="1" applyBorder="1" applyAlignment="1">
      <alignment horizontal="center" vertical="center"/>
    </xf>
    <xf numFmtId="167" fontId="43" fillId="8" borderId="15" xfId="0" applyNumberFormat="1" applyFont="1" applyFill="1" applyBorder="1" applyAlignment="1">
      <alignment horizontal="center" vertical="center"/>
    </xf>
    <xf numFmtId="167" fontId="43" fillId="8" borderId="16" xfId="0" applyNumberFormat="1" applyFont="1" applyFill="1" applyBorder="1" applyAlignment="1">
      <alignment horizontal="center" vertical="center"/>
    </xf>
    <xf numFmtId="167" fontId="43" fillId="8" borderId="17" xfId="0" applyNumberFormat="1" applyFont="1" applyFill="1" applyBorder="1" applyAlignment="1">
      <alignment horizontal="center" vertical="center"/>
    </xf>
    <xf numFmtId="165" fontId="23" fillId="0" borderId="0" xfId="0" applyNumberFormat="1" applyFont="1"/>
    <xf numFmtId="167" fontId="45" fillId="8" borderId="11" xfId="0" applyNumberFormat="1" applyFont="1" applyFill="1" applyBorder="1" applyAlignment="1">
      <alignment horizontal="center" vertical="center"/>
    </xf>
    <xf numFmtId="167" fontId="43" fillId="8" borderId="18" xfId="0" applyNumberFormat="1" applyFont="1" applyFill="1" applyBorder="1" applyAlignment="1">
      <alignment horizontal="center" vertical="center"/>
    </xf>
    <xf numFmtId="167" fontId="45" fillId="8" borderId="15" xfId="0" applyNumberFormat="1" applyFont="1" applyFill="1" applyBorder="1" applyAlignment="1">
      <alignment horizontal="center" vertical="center"/>
    </xf>
    <xf numFmtId="167" fontId="21" fillId="8" borderId="5" xfId="0" applyNumberFormat="1" applyFont="1" applyFill="1" applyBorder="1" applyAlignment="1">
      <alignment horizontal="center" vertical="center"/>
    </xf>
    <xf numFmtId="3" fontId="43" fillId="8" borderId="11" xfId="0" applyNumberFormat="1" applyFont="1" applyFill="1" applyBorder="1" applyAlignment="1">
      <alignment horizontal="center" vertical="center"/>
    </xf>
    <xf numFmtId="3" fontId="43" fillId="8" borderId="7" xfId="0" applyNumberFormat="1" applyFont="1" applyFill="1" applyBorder="1" applyAlignment="1">
      <alignment horizontal="center" vertical="center"/>
    </xf>
    <xf numFmtId="3" fontId="43" fillId="8" borderId="2" xfId="0" applyNumberFormat="1" applyFont="1" applyFill="1" applyBorder="1" applyAlignment="1">
      <alignment horizontal="center" vertical="center"/>
    </xf>
    <xf numFmtId="167" fontId="43" fillId="8" borderId="2" xfId="0" applyNumberFormat="1" applyFont="1" applyFill="1" applyBorder="1" applyAlignment="1">
      <alignment horizontal="center" vertical="center"/>
    </xf>
    <xf numFmtId="3" fontId="23" fillId="0" borderId="0" xfId="0" applyNumberFormat="1" applyFont="1" applyBorder="1" applyAlignment="1">
      <alignment horizontal="center" vertical="center"/>
    </xf>
    <xf numFmtId="3" fontId="23" fillId="0" borderId="3" xfId="0" applyNumberFormat="1" applyFont="1" applyBorder="1" applyAlignment="1">
      <alignment horizontal="center" vertical="center"/>
    </xf>
    <xf numFmtId="0" fontId="45" fillId="8" borderId="7" xfId="0" applyFont="1" applyFill="1" applyBorder="1" applyAlignment="1">
      <alignment horizontal="center" vertical="center"/>
    </xf>
    <xf numFmtId="167" fontId="45" fillId="8" borderId="12" xfId="0" applyNumberFormat="1" applyFont="1" applyFill="1" applyBorder="1" applyAlignment="1">
      <alignment horizontal="center" vertical="center"/>
    </xf>
    <xf numFmtId="167" fontId="45" fillId="8" borderId="16" xfId="0" applyNumberFormat="1" applyFont="1" applyFill="1" applyBorder="1" applyAlignment="1">
      <alignment horizontal="center" vertical="center"/>
    </xf>
    <xf numFmtId="167" fontId="45" fillId="8" borderId="17" xfId="0" applyNumberFormat="1" applyFont="1" applyFill="1" applyBorder="1" applyAlignment="1">
      <alignment horizontal="center" vertical="center"/>
    </xf>
    <xf numFmtId="167" fontId="45" fillId="8" borderId="13" xfId="0" applyNumberFormat="1" applyFont="1" applyFill="1" applyBorder="1" applyAlignment="1">
      <alignment horizontal="center" vertical="center"/>
    </xf>
    <xf numFmtId="167" fontId="43" fillId="8" borderId="9" xfId="0" applyNumberFormat="1" applyFont="1" applyFill="1" applyBorder="1" applyAlignment="1">
      <alignment horizontal="center" vertical="center"/>
    </xf>
    <xf numFmtId="0" fontId="44" fillId="3" borderId="1" xfId="0" applyFont="1" applyFill="1" applyBorder="1" applyAlignment="1">
      <alignment horizontal="center" vertical="center"/>
    </xf>
    <xf numFmtId="166" fontId="43" fillId="8" borderId="0" xfId="0" applyNumberFormat="1" applyFont="1" applyFill="1" applyBorder="1" applyAlignment="1">
      <alignment horizontal="center" vertical="center"/>
    </xf>
    <xf numFmtId="166" fontId="43" fillId="8" borderId="7" xfId="0" applyNumberFormat="1" applyFont="1" applyFill="1" applyBorder="1" applyAlignment="1">
      <alignment horizontal="center" vertical="center"/>
    </xf>
    <xf numFmtId="167" fontId="21" fillId="8" borderId="8" xfId="0" applyNumberFormat="1" applyFont="1" applyFill="1" applyBorder="1" applyAlignment="1">
      <alignment horizontal="center" vertical="center"/>
    </xf>
    <xf numFmtId="166" fontId="24" fillId="8" borderId="9" xfId="0" applyNumberFormat="1" applyFont="1" applyFill="1" applyBorder="1" applyAlignment="1">
      <alignment horizontal="center" vertical="center"/>
    </xf>
    <xf numFmtId="167" fontId="21" fillId="8" borderId="4" xfId="0" applyNumberFormat="1" applyFont="1" applyFill="1" applyBorder="1" applyAlignment="1">
      <alignment horizontal="center" vertical="center"/>
    </xf>
    <xf numFmtId="171" fontId="24" fillId="0" borderId="2" xfId="0" applyNumberFormat="1" applyFont="1" applyBorder="1" applyAlignment="1">
      <alignment horizontal="center" vertical="center"/>
    </xf>
    <xf numFmtId="172" fontId="24" fillId="0" borderId="2" xfId="0" applyNumberFormat="1" applyFont="1" applyBorder="1" applyAlignment="1">
      <alignment horizontal="center" vertical="center"/>
    </xf>
    <xf numFmtId="171" fontId="24" fillId="0" borderId="9" xfId="0" applyNumberFormat="1" applyFont="1" applyBorder="1" applyAlignment="1">
      <alignment horizontal="center" vertical="center"/>
    </xf>
    <xf numFmtId="3" fontId="43" fillId="8" borderId="13" xfId="0" applyNumberFormat="1" applyFont="1" applyFill="1" applyBorder="1" applyAlignment="1">
      <alignment horizontal="center" vertical="center"/>
    </xf>
    <xf numFmtId="168" fontId="24" fillId="8" borderId="7" xfId="0" applyNumberFormat="1" applyFont="1" applyFill="1" applyBorder="1" applyAlignment="1">
      <alignment horizontal="center" vertical="center"/>
    </xf>
    <xf numFmtId="4" fontId="44" fillId="3" borderId="1" xfId="0" applyNumberFormat="1" applyFont="1" applyFill="1" applyBorder="1" applyAlignment="1">
      <alignment horizontal="center" vertical="center"/>
    </xf>
    <xf numFmtId="0" fontId="21" fillId="0" borderId="0" xfId="0" applyFont="1"/>
    <xf numFmtId="0" fontId="23" fillId="0" borderId="0" xfId="0" applyFont="1" applyAlignment="1">
      <alignment horizontal="center"/>
    </xf>
    <xf numFmtId="0" fontId="23" fillId="9" borderId="0" xfId="0" applyFont="1" applyFill="1"/>
    <xf numFmtId="0" fontId="0" fillId="9" borderId="0" xfId="0" applyFill="1"/>
    <xf numFmtId="0" fontId="36" fillId="0" borderId="1" xfId="0" applyFont="1" applyBorder="1" applyAlignment="1">
      <alignment horizontal="center" vertical="center"/>
    </xf>
    <xf numFmtId="0" fontId="42" fillId="3" borderId="19" xfId="0" applyFont="1" applyFill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167" fontId="21" fillId="8" borderId="20" xfId="0" applyNumberFormat="1" applyFont="1" applyFill="1" applyBorder="1" applyAlignment="1">
      <alignment horizontal="center" vertical="center"/>
    </xf>
    <xf numFmtId="168" fontId="24" fillId="8" borderId="21" xfId="0" applyNumberFormat="1" applyFont="1" applyFill="1" applyBorder="1" applyAlignment="1">
      <alignment horizontal="center" vertical="center"/>
    </xf>
    <xf numFmtId="167" fontId="21" fillId="8" borderId="22" xfId="0" applyNumberFormat="1" applyFont="1" applyFill="1" applyBorder="1" applyAlignment="1">
      <alignment horizontal="center" vertical="center"/>
    </xf>
    <xf numFmtId="168" fontId="24" fillId="8" borderId="23" xfId="0" applyNumberFormat="1" applyFont="1" applyFill="1" applyBorder="1" applyAlignment="1">
      <alignment horizontal="center" vertical="center"/>
    </xf>
    <xf numFmtId="173" fontId="44" fillId="3" borderId="1" xfId="0" applyNumberFormat="1" applyFont="1" applyFill="1" applyBorder="1" applyAlignment="1">
      <alignment horizontal="center" vertical="center"/>
    </xf>
    <xf numFmtId="173" fontId="43" fillId="8" borderId="0" xfId="0" applyNumberFormat="1" applyFont="1" applyFill="1" applyBorder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50" fillId="0" borderId="0" xfId="0" applyFont="1" applyAlignment="1">
      <alignment horizontal="left" vertical="center"/>
    </xf>
    <xf numFmtId="174" fontId="50" fillId="0" borderId="0" xfId="0" applyNumberFormat="1" applyFont="1" applyAlignment="1">
      <alignment horizontal="left" vertical="center"/>
    </xf>
    <xf numFmtId="0" fontId="50" fillId="0" borderId="0" xfId="0" applyFont="1" applyAlignment="1">
      <alignment horizontal="center" vertical="center"/>
    </xf>
    <xf numFmtId="171" fontId="23" fillId="0" borderId="0" xfId="0" applyNumberFormat="1" applyFont="1" applyBorder="1" applyAlignment="1">
      <alignment horizontal="center" vertical="center"/>
    </xf>
    <xf numFmtId="171" fontId="23" fillId="0" borderId="2" xfId="0" applyNumberFormat="1" applyFont="1" applyBorder="1" applyAlignment="1">
      <alignment horizontal="center" vertical="center"/>
    </xf>
    <xf numFmtId="171" fontId="23" fillId="0" borderId="3" xfId="0" applyNumberFormat="1" applyFont="1" applyBorder="1" applyAlignment="1">
      <alignment horizontal="center" vertical="center"/>
    </xf>
    <xf numFmtId="171" fontId="23" fillId="0" borderId="9" xfId="0" applyNumberFormat="1" applyFont="1" applyBorder="1" applyAlignment="1">
      <alignment horizontal="center" vertical="center"/>
    </xf>
    <xf numFmtId="0" fontId="32" fillId="0" borderId="5" xfId="0" applyFont="1" applyBorder="1" applyAlignment="1">
      <alignment horizontal="center" vertical="center"/>
    </xf>
    <xf numFmtId="0" fontId="32" fillId="0" borderId="6" xfId="0" applyFont="1" applyBorder="1" applyAlignment="1">
      <alignment horizontal="center" vertical="center"/>
    </xf>
    <xf numFmtId="0" fontId="32" fillId="0" borderId="7" xfId="0" applyFont="1" applyBorder="1" applyAlignment="1">
      <alignment horizontal="center" vertical="center"/>
    </xf>
    <xf numFmtId="0" fontId="21" fillId="0" borderId="6" xfId="0" applyFont="1" applyBorder="1" applyAlignment="1">
      <alignment wrapText="1"/>
    </xf>
    <xf numFmtId="0" fontId="51" fillId="10" borderId="0" xfId="0" applyFont="1" applyFill="1" applyAlignment="1">
      <alignment horizontal="center" vertical="center"/>
    </xf>
    <xf numFmtId="0" fontId="36" fillId="10" borderId="1" xfId="0" applyFont="1" applyFill="1" applyBorder="1" applyAlignment="1">
      <alignment horizontal="center" vertical="center"/>
    </xf>
    <xf numFmtId="174" fontId="50" fillId="10" borderId="1" xfId="0" quotePrefix="1" applyNumberFormat="1" applyFont="1" applyFill="1" applyBorder="1" applyAlignment="1">
      <alignment horizontal="center" vertical="center"/>
    </xf>
    <xf numFmtId="174" fontId="50" fillId="0" borderId="1" xfId="0" quotePrefix="1" applyNumberFormat="1" applyFont="1" applyBorder="1" applyAlignment="1">
      <alignment horizontal="center" vertical="center"/>
    </xf>
    <xf numFmtId="0" fontId="0" fillId="11" borderId="5" xfId="0" applyFill="1" applyBorder="1" applyAlignment="1">
      <alignment horizontal="center" vertical="center"/>
    </xf>
    <xf numFmtId="0" fontId="0" fillId="11" borderId="7" xfId="0" applyFill="1" applyBorder="1" applyAlignment="1">
      <alignment horizontal="center" vertical="center"/>
    </xf>
    <xf numFmtId="0" fontId="0" fillId="11" borderId="8" xfId="0" applyFill="1" applyBorder="1" applyAlignment="1">
      <alignment horizontal="center" vertical="center"/>
    </xf>
    <xf numFmtId="0" fontId="0" fillId="11" borderId="9" xfId="0" applyFill="1" applyBorder="1" applyAlignment="1">
      <alignment horizontal="center" vertical="center"/>
    </xf>
    <xf numFmtId="0" fontId="23" fillId="12" borderId="0" xfId="0" applyFont="1" applyFill="1"/>
    <xf numFmtId="0" fontId="49" fillId="0" borderId="0" xfId="0" applyFont="1" applyAlignment="1">
      <alignment horizontal="left" vertical="center"/>
    </xf>
    <xf numFmtId="0" fontId="42" fillId="0" borderId="1" xfId="0" applyFont="1" applyFill="1" applyBorder="1" applyAlignment="1">
      <alignment horizontal="center" vertical="center"/>
    </xf>
    <xf numFmtId="165" fontId="44" fillId="0" borderId="1" xfId="0" applyNumberFormat="1" applyFont="1" applyFill="1" applyBorder="1" applyAlignment="1">
      <alignment horizontal="center" vertical="center"/>
    </xf>
    <xf numFmtId="0" fontId="23" fillId="0" borderId="0" xfId="0" applyFont="1" applyFill="1"/>
    <xf numFmtId="0" fontId="23" fillId="13" borderId="0" xfId="0" applyFont="1" applyFill="1" applyAlignment="1">
      <alignment horizontal="center"/>
    </xf>
    <xf numFmtId="0" fontId="23" fillId="13" borderId="1" xfId="0" applyFont="1" applyFill="1" applyBorder="1" applyAlignment="1">
      <alignment horizontal="center" vertical="center"/>
    </xf>
    <xf numFmtId="168" fontId="23" fillId="13" borderId="1" xfId="0" applyNumberFormat="1" applyFont="1" applyFill="1" applyBorder="1" applyAlignment="1">
      <alignment horizontal="center" vertical="center"/>
    </xf>
    <xf numFmtId="0" fontId="23" fillId="13" borderId="7" xfId="0" applyFont="1" applyFill="1" applyBorder="1" applyAlignment="1">
      <alignment horizontal="center"/>
    </xf>
    <xf numFmtId="0" fontId="23" fillId="13" borderId="2" xfId="0" applyFont="1" applyFill="1" applyBorder="1" applyAlignment="1">
      <alignment horizontal="center"/>
    </xf>
    <xf numFmtId="0" fontId="23" fillId="13" borderId="9" xfId="0" applyFont="1" applyFill="1" applyBorder="1" applyAlignment="1">
      <alignment horizontal="center"/>
    </xf>
    <xf numFmtId="0" fontId="50" fillId="13" borderId="0" xfId="0" applyFont="1" applyFill="1" applyAlignment="1">
      <alignment horizontal="center"/>
    </xf>
    <xf numFmtId="167" fontId="42" fillId="13" borderId="5" xfId="0" applyNumberFormat="1" applyFont="1" applyFill="1" applyBorder="1" applyAlignment="1">
      <alignment horizontal="center"/>
    </xf>
    <xf numFmtId="167" fontId="42" fillId="13" borderId="4" xfId="0" applyNumberFormat="1" applyFont="1" applyFill="1" applyBorder="1" applyAlignment="1">
      <alignment horizontal="center"/>
    </xf>
    <xf numFmtId="167" fontId="42" fillId="13" borderId="8" xfId="0" applyNumberFormat="1" applyFont="1" applyFill="1" applyBorder="1" applyAlignment="1">
      <alignment horizontal="center"/>
    </xf>
    <xf numFmtId="0" fontId="21" fillId="0" borderId="0" xfId="0" applyFont="1" applyAlignment="1">
      <alignment wrapText="1"/>
    </xf>
    <xf numFmtId="0" fontId="13" fillId="14" borderId="1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3" fontId="14" fillId="4" borderId="1" xfId="0" applyNumberFormat="1" applyFont="1" applyFill="1" applyBorder="1" applyAlignment="1">
      <alignment horizontal="center" vertical="center"/>
    </xf>
    <xf numFmtId="165" fontId="14" fillId="14" borderId="1" xfId="0" applyNumberFormat="1" applyFont="1" applyFill="1" applyBorder="1" applyAlignment="1">
      <alignment horizontal="center" vertical="center"/>
    </xf>
    <xf numFmtId="0" fontId="26" fillId="4" borderId="5" xfId="0" applyFont="1" applyFill="1" applyBorder="1" applyAlignment="1">
      <alignment horizontal="center" vertical="center"/>
    </xf>
    <xf numFmtId="0" fontId="26" fillId="4" borderId="6" xfId="0" applyFont="1" applyFill="1" applyBorder="1" applyAlignment="1">
      <alignment horizontal="center" vertical="center"/>
    </xf>
    <xf numFmtId="3" fontId="14" fillId="3" borderId="1" xfId="0" applyNumberFormat="1" applyFont="1" applyFill="1" applyBorder="1" applyAlignment="1">
      <alignment horizontal="center" vertical="center"/>
    </xf>
    <xf numFmtId="0" fontId="2" fillId="0" borderId="0" xfId="0" applyFont="1" applyAlignment="1" applyProtection="1">
      <alignment horizontal="left" vertical="center" wrapText="1"/>
      <protection hidden="1"/>
    </xf>
    <xf numFmtId="0" fontId="2" fillId="0" borderId="4" xfId="0" applyFont="1" applyBorder="1" applyAlignment="1" applyProtection="1">
      <alignment horizontal="center" vertical="center" wrapText="1"/>
      <protection hidden="1"/>
    </xf>
    <xf numFmtId="0" fontId="2" fillId="0" borderId="0" xfId="0" applyFont="1" applyBorder="1" applyAlignment="1" applyProtection="1">
      <alignment horizontal="center" vertical="center" wrapText="1"/>
      <protection hidden="1"/>
    </xf>
    <xf numFmtId="0" fontId="2" fillId="0" borderId="2" xfId="0" applyFont="1" applyBorder="1" applyAlignment="1" applyProtection="1">
      <alignment horizontal="center" vertical="center" wrapText="1"/>
      <protection hidden="1"/>
    </xf>
    <xf numFmtId="0" fontId="2" fillId="0" borderId="8" xfId="0" applyFont="1" applyBorder="1" applyAlignment="1" applyProtection="1">
      <alignment horizontal="center" vertical="center" wrapText="1"/>
      <protection hidden="1"/>
    </xf>
    <xf numFmtId="0" fontId="2" fillId="0" borderId="3" xfId="0" applyFont="1" applyBorder="1" applyAlignment="1" applyProtection="1">
      <alignment horizontal="center" vertical="center" wrapText="1"/>
      <protection hidden="1"/>
    </xf>
    <xf numFmtId="0" fontId="2" fillId="0" borderId="9" xfId="0" applyFont="1" applyBorder="1" applyAlignment="1" applyProtection="1">
      <alignment horizontal="center" vertical="center" wrapText="1"/>
      <protection hidden="1"/>
    </xf>
    <xf numFmtId="0" fontId="1" fillId="0" borderId="5" xfId="0" applyFont="1" applyBorder="1" applyAlignment="1" applyProtection="1">
      <alignment horizontal="center" vertical="center"/>
      <protection hidden="1"/>
    </xf>
    <xf numFmtId="0" fontId="1" fillId="0" borderId="6" xfId="0" applyFont="1" applyBorder="1" applyAlignment="1" applyProtection="1">
      <alignment horizontal="center" vertical="center"/>
      <protection hidden="1"/>
    </xf>
    <xf numFmtId="0" fontId="3" fillId="0" borderId="6" xfId="0" applyFont="1" applyBorder="1" applyAlignment="1" applyProtection="1">
      <alignment horizontal="center" vertical="center" wrapText="1"/>
      <protection hidden="1"/>
    </xf>
    <xf numFmtId="0" fontId="3" fillId="0" borderId="7" xfId="0" applyFont="1" applyBorder="1" applyAlignment="1" applyProtection="1">
      <alignment horizontal="center" vertical="center" wrapText="1"/>
      <protection hidden="1"/>
    </xf>
    <xf numFmtId="0" fontId="3" fillId="0" borderId="0" xfId="0" applyFont="1" applyBorder="1" applyAlignment="1" applyProtection="1">
      <alignment horizontal="center" vertical="center" wrapText="1"/>
      <protection hidden="1"/>
    </xf>
    <xf numFmtId="0" fontId="3" fillId="0" borderId="2" xfId="0" applyFont="1" applyBorder="1" applyAlignment="1" applyProtection="1">
      <alignment horizontal="center" vertical="center" wrapText="1"/>
      <protection hidden="1"/>
    </xf>
    <xf numFmtId="0" fontId="5" fillId="0" borderId="3" xfId="0" applyFont="1" applyBorder="1" applyAlignment="1" applyProtection="1">
      <alignment horizontal="center" vertical="center" wrapText="1"/>
      <protection hidden="1"/>
    </xf>
    <xf numFmtId="0" fontId="5" fillId="0" borderId="9" xfId="0" applyFont="1" applyBorder="1" applyAlignment="1" applyProtection="1">
      <alignment horizontal="center" vertical="center" wrapText="1"/>
      <protection hidden="1"/>
    </xf>
    <xf numFmtId="0" fontId="2" fillId="2" borderId="4" xfId="0" applyFont="1" applyFill="1" applyBorder="1" applyAlignment="1" applyProtection="1">
      <alignment horizontal="center" vertical="center"/>
      <protection locked="0" hidden="1"/>
    </xf>
    <xf numFmtId="0" fontId="2" fillId="2" borderId="0" xfId="0" applyFont="1" applyFill="1" applyBorder="1" applyAlignment="1" applyProtection="1">
      <alignment horizontal="center" vertical="center"/>
      <protection locked="0" hidden="1"/>
    </xf>
    <xf numFmtId="0" fontId="2" fillId="2" borderId="8" xfId="0" applyFont="1" applyFill="1" applyBorder="1" applyAlignment="1" applyProtection="1">
      <alignment horizontal="center" vertical="center"/>
      <protection locked="0" hidden="1"/>
    </xf>
    <xf numFmtId="0" fontId="2" fillId="2" borderId="3" xfId="0" applyFont="1" applyFill="1" applyBorder="1" applyAlignment="1" applyProtection="1">
      <alignment horizontal="center" vertical="center"/>
      <protection locked="0" hidden="1"/>
    </xf>
    <xf numFmtId="0" fontId="24" fillId="0" borderId="5" xfId="0" applyFont="1" applyBorder="1" applyAlignment="1">
      <alignment horizontal="left"/>
    </xf>
    <xf numFmtId="0" fontId="24" fillId="0" borderId="6" xfId="0" applyFont="1" applyBorder="1" applyAlignment="1">
      <alignment horizontal="left"/>
    </xf>
    <xf numFmtId="0" fontId="24" fillId="0" borderId="7" xfId="0" applyFont="1" applyBorder="1" applyAlignment="1">
      <alignment horizontal="left"/>
    </xf>
    <xf numFmtId="0" fontId="24" fillId="0" borderId="4" xfId="0" applyFont="1" applyBorder="1" applyAlignment="1">
      <alignment horizontal="left"/>
    </xf>
    <xf numFmtId="0" fontId="24" fillId="0" borderId="0" xfId="0" applyFont="1" applyBorder="1" applyAlignment="1">
      <alignment horizontal="left"/>
    </xf>
    <xf numFmtId="0" fontId="24" fillId="0" borderId="2" xfId="0" applyFont="1" applyBorder="1" applyAlignment="1">
      <alignment horizontal="left"/>
    </xf>
    <xf numFmtId="0" fontId="24" fillId="0" borderId="8" xfId="0" applyFont="1" applyBorder="1" applyAlignment="1">
      <alignment horizontal="left"/>
    </xf>
    <xf numFmtId="0" fontId="24" fillId="0" borderId="3" xfId="0" applyFont="1" applyBorder="1" applyAlignment="1">
      <alignment horizontal="left"/>
    </xf>
    <xf numFmtId="0" fontId="24" fillId="0" borderId="9" xfId="0" applyFont="1" applyBorder="1" applyAlignment="1">
      <alignment horizontal="left"/>
    </xf>
    <xf numFmtId="0" fontId="24" fillId="0" borderId="5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4" fillId="0" borderId="7" xfId="0" applyFont="1" applyBorder="1" applyAlignment="1">
      <alignment horizontal="center" vertical="center" wrapText="1"/>
    </xf>
    <xf numFmtId="0" fontId="24" fillId="0" borderId="4" xfId="0" applyFont="1" applyBorder="1" applyAlignment="1">
      <alignment horizontal="center" vertical="center" wrapText="1"/>
    </xf>
    <xf numFmtId="0" fontId="24" fillId="0" borderId="0" xfId="0" applyFont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 wrapText="1"/>
    </xf>
    <xf numFmtId="0" fontId="24" fillId="0" borderId="8" xfId="0" applyFont="1" applyBorder="1" applyAlignment="1">
      <alignment horizontal="center" vertical="center" wrapText="1"/>
    </xf>
    <xf numFmtId="0" fontId="24" fillId="0" borderId="3" xfId="0" applyFont="1" applyBorder="1" applyAlignment="1">
      <alignment horizontal="center" vertical="center" wrapText="1"/>
    </xf>
    <xf numFmtId="0" fontId="24" fillId="0" borderId="9" xfId="0" applyFont="1" applyBorder="1" applyAlignment="1">
      <alignment horizontal="center" vertical="center" wrapText="1"/>
    </xf>
    <xf numFmtId="0" fontId="26" fillId="7" borderId="5" xfId="0" applyFont="1" applyFill="1" applyBorder="1" applyAlignment="1">
      <alignment horizontal="center" vertical="center"/>
    </xf>
    <xf numFmtId="0" fontId="26" fillId="7" borderId="6" xfId="0" applyFont="1" applyFill="1" applyBorder="1" applyAlignment="1">
      <alignment horizontal="center" vertical="center"/>
    </xf>
    <xf numFmtId="0" fontId="21" fillId="0" borderId="5" xfId="0" applyFont="1" applyBorder="1" applyAlignment="1">
      <alignment horizontal="center" wrapText="1"/>
    </xf>
    <xf numFmtId="0" fontId="21" fillId="0" borderId="6" xfId="0" applyFont="1" applyBorder="1" applyAlignment="1">
      <alignment horizontal="center" wrapText="1"/>
    </xf>
    <xf numFmtId="0" fontId="21" fillId="0" borderId="7" xfId="0" applyFont="1" applyBorder="1" applyAlignment="1">
      <alignment horizontal="center" wrapText="1"/>
    </xf>
    <xf numFmtId="0" fontId="21" fillId="0" borderId="8" xfId="0" applyFont="1" applyBorder="1" applyAlignment="1">
      <alignment horizontal="center" wrapText="1"/>
    </xf>
    <xf numFmtId="0" fontId="21" fillId="0" borderId="3" xfId="0" applyFont="1" applyBorder="1" applyAlignment="1">
      <alignment horizontal="center" wrapText="1"/>
    </xf>
    <xf numFmtId="0" fontId="21" fillId="0" borderId="9" xfId="0" applyFont="1" applyBorder="1" applyAlignment="1">
      <alignment horizontal="center" wrapText="1"/>
    </xf>
    <xf numFmtId="0" fontId="38" fillId="0" borderId="11" xfId="0" applyFont="1" applyBorder="1" applyAlignment="1">
      <alignment horizontal="center"/>
    </xf>
    <xf numFmtId="0" fontId="38" fillId="0" borderId="12" xfId="0" applyFont="1" applyBorder="1" applyAlignment="1">
      <alignment horizontal="center"/>
    </xf>
    <xf numFmtId="0" fontId="38" fillId="0" borderId="13" xfId="0" applyFont="1" applyBorder="1" applyAlignment="1">
      <alignment horizontal="center"/>
    </xf>
    <xf numFmtId="0" fontId="24" fillId="0" borderId="5" xfId="0" applyFont="1" applyBorder="1" applyAlignment="1">
      <alignment horizontal="center" wrapText="1"/>
    </xf>
    <xf numFmtId="0" fontId="24" fillId="0" borderId="6" xfId="0" applyFont="1" applyBorder="1" applyAlignment="1">
      <alignment horizontal="center" wrapText="1"/>
    </xf>
    <xf numFmtId="0" fontId="24" fillId="0" borderId="7" xfId="0" applyFont="1" applyBorder="1" applyAlignment="1">
      <alignment horizontal="center" wrapText="1"/>
    </xf>
    <xf numFmtId="0" fontId="24" fillId="0" borderId="4" xfId="0" applyFont="1" applyBorder="1" applyAlignment="1">
      <alignment horizontal="center" wrapText="1"/>
    </xf>
    <xf numFmtId="0" fontId="24" fillId="0" borderId="0" xfId="0" applyFont="1" applyBorder="1" applyAlignment="1">
      <alignment horizontal="center" wrapText="1"/>
    </xf>
    <xf numFmtId="0" fontId="24" fillId="0" borderId="2" xfId="0" applyFont="1" applyBorder="1" applyAlignment="1">
      <alignment horizontal="center" wrapText="1"/>
    </xf>
    <xf numFmtId="0" fontId="24" fillId="0" borderId="8" xfId="0" applyFont="1" applyBorder="1" applyAlignment="1">
      <alignment horizontal="center" wrapText="1"/>
    </xf>
    <xf numFmtId="0" fontId="24" fillId="0" borderId="3" xfId="0" applyFont="1" applyBorder="1" applyAlignment="1">
      <alignment horizontal="center" wrapText="1"/>
    </xf>
    <xf numFmtId="0" fontId="24" fillId="0" borderId="9" xfId="0" applyFont="1" applyBorder="1" applyAlignment="1">
      <alignment horizontal="center" wrapText="1"/>
    </xf>
    <xf numFmtId="0" fontId="32" fillId="0" borderId="0" xfId="0" applyFont="1" applyAlignment="1">
      <alignment horizontal="center"/>
    </xf>
    <xf numFmtId="0" fontId="36" fillId="0" borderId="5" xfId="0" applyFont="1" applyFill="1" applyBorder="1" applyAlignment="1">
      <alignment horizontal="center" vertical="center"/>
    </xf>
    <xf numFmtId="0" fontId="36" fillId="0" borderId="7" xfId="0" applyFont="1" applyFill="1" applyBorder="1" applyAlignment="1">
      <alignment horizontal="center" vertical="center"/>
    </xf>
    <xf numFmtId="0" fontId="48" fillId="0" borderId="5" xfId="0" applyFont="1" applyBorder="1" applyAlignment="1">
      <alignment horizontal="left"/>
    </xf>
    <xf numFmtId="0" fontId="48" fillId="0" borderId="6" xfId="0" applyFont="1" applyBorder="1" applyAlignment="1">
      <alignment horizontal="left"/>
    </xf>
    <xf numFmtId="0" fontId="48" fillId="0" borderId="7" xfId="0" applyFont="1" applyBorder="1" applyAlignment="1">
      <alignment horizontal="left"/>
    </xf>
    <xf numFmtId="0" fontId="32" fillId="0" borderId="4" xfId="0" applyFont="1" applyBorder="1" applyAlignment="1">
      <alignment horizontal="left"/>
    </xf>
    <xf numFmtId="0" fontId="32" fillId="0" borderId="0" xfId="0" applyFont="1" applyBorder="1" applyAlignment="1">
      <alignment horizontal="left"/>
    </xf>
    <xf numFmtId="0" fontId="32" fillId="0" borderId="2" xfId="0" applyFont="1" applyBorder="1" applyAlignment="1">
      <alignment horizontal="left"/>
    </xf>
    <xf numFmtId="0" fontId="32" fillId="0" borderId="8" xfId="0" applyFont="1" applyBorder="1" applyAlignment="1">
      <alignment horizontal="left"/>
    </xf>
    <xf numFmtId="0" fontId="32" fillId="0" borderId="3" xfId="0" applyFont="1" applyBorder="1" applyAlignment="1">
      <alignment horizontal="left"/>
    </xf>
    <xf numFmtId="0" fontId="32" fillId="0" borderId="9" xfId="0" applyFont="1" applyBorder="1" applyAlignment="1">
      <alignment horizontal="left"/>
    </xf>
    <xf numFmtId="0" fontId="21" fillId="0" borderId="0" xfId="0" applyFont="1" applyAlignment="1">
      <alignment horizontal="center" vertical="center"/>
    </xf>
    <xf numFmtId="0" fontId="21" fillId="0" borderId="4" xfId="0" applyFont="1" applyBorder="1" applyAlignment="1">
      <alignment horizontal="center" wrapText="1"/>
    </xf>
    <xf numFmtId="0" fontId="21" fillId="0" borderId="0" xfId="0" applyFont="1" applyBorder="1" applyAlignment="1">
      <alignment horizontal="center" wrapText="1"/>
    </xf>
    <xf numFmtId="0" fontId="21" fillId="0" borderId="2" xfId="0" applyFont="1" applyBorder="1" applyAlignment="1">
      <alignment horizontal="center" wrapText="1"/>
    </xf>
    <xf numFmtId="0" fontId="21" fillId="0" borderId="14" xfId="0" applyFont="1" applyBorder="1" applyAlignment="1">
      <alignment horizontal="center"/>
    </xf>
    <xf numFmtId="0" fontId="21" fillId="0" borderId="24" xfId="0" applyFont="1" applyBorder="1" applyAlignment="1">
      <alignment horizontal="center"/>
    </xf>
    <xf numFmtId="0" fontId="1" fillId="0" borderId="5" xfId="0" applyFont="1" applyBorder="1" applyAlignment="1">
      <alignment horizontal="center" wrapText="1"/>
    </xf>
    <xf numFmtId="0" fontId="1" fillId="0" borderId="6" xfId="0" applyFont="1" applyBorder="1" applyAlignment="1">
      <alignment horizontal="center" wrapText="1"/>
    </xf>
    <xf numFmtId="0" fontId="1" fillId="0" borderId="7" xfId="0" applyFont="1" applyBorder="1" applyAlignment="1">
      <alignment horizontal="center" wrapText="1"/>
    </xf>
    <xf numFmtId="0" fontId="1" fillId="0" borderId="8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9" xfId="0" applyFont="1" applyBorder="1" applyAlignment="1">
      <alignment horizontal="center" wrapText="1"/>
    </xf>
    <xf numFmtId="0" fontId="45" fillId="8" borderId="5" xfId="0" applyFont="1" applyFill="1" applyBorder="1" applyAlignment="1">
      <alignment horizontal="center" vertical="center"/>
    </xf>
    <xf numFmtId="0" fontId="45" fillId="8" borderId="6" xfId="0" applyFont="1" applyFill="1" applyBorder="1" applyAlignment="1">
      <alignment horizontal="center" vertical="center"/>
    </xf>
    <xf numFmtId="0" fontId="21" fillId="0" borderId="0" xfId="0" applyFont="1" applyAlignment="1">
      <alignment horizontal="center" wrapText="1"/>
    </xf>
    <xf numFmtId="0" fontId="23" fillId="0" borderId="5" xfId="0" applyFont="1" applyBorder="1" applyAlignment="1">
      <alignment horizontal="center" vertical="center" wrapText="1"/>
    </xf>
    <xf numFmtId="0" fontId="23" fillId="0" borderId="6" xfId="0" applyFont="1" applyBorder="1" applyAlignment="1">
      <alignment horizontal="center" vertical="center" wrapText="1"/>
    </xf>
    <xf numFmtId="0" fontId="23" fillId="0" borderId="7" xfId="0" applyFont="1" applyBorder="1" applyAlignment="1">
      <alignment horizontal="center" vertical="center" wrapText="1"/>
    </xf>
    <xf numFmtId="0" fontId="23" fillId="0" borderId="4" xfId="0" applyFont="1" applyBorder="1" applyAlignment="1">
      <alignment horizontal="center" vertical="center" wrapText="1"/>
    </xf>
    <xf numFmtId="0" fontId="23" fillId="0" borderId="0" xfId="0" applyFont="1" applyBorder="1" applyAlignment="1">
      <alignment horizontal="center" vertical="center" wrapText="1"/>
    </xf>
    <xf numFmtId="0" fontId="23" fillId="0" borderId="2" xfId="0" applyFont="1" applyBorder="1" applyAlignment="1">
      <alignment horizontal="center" vertical="center" wrapText="1"/>
    </xf>
    <xf numFmtId="0" fontId="23" fillId="0" borderId="8" xfId="0" applyFont="1" applyBorder="1" applyAlignment="1">
      <alignment horizontal="center" vertical="center" wrapText="1"/>
    </xf>
    <xf numFmtId="0" fontId="23" fillId="0" borderId="3" xfId="0" applyFont="1" applyBorder="1" applyAlignment="1">
      <alignment horizontal="center" vertical="center" wrapText="1"/>
    </xf>
    <xf numFmtId="0" fontId="23" fillId="0" borderId="9" xfId="0" applyFont="1" applyBorder="1" applyAlignment="1">
      <alignment horizontal="center" vertical="center" wrapText="1"/>
    </xf>
    <xf numFmtId="0" fontId="23" fillId="0" borderId="0" xfId="0" applyFont="1" applyAlignment="1">
      <alignment horizontal="center" wrapText="1"/>
    </xf>
    <xf numFmtId="0" fontId="26" fillId="4" borderId="5" xfId="0" applyFont="1" applyFill="1" applyBorder="1" applyAlignment="1">
      <alignment horizontal="center" vertical="center"/>
    </xf>
    <xf numFmtId="0" fontId="26" fillId="4" borderId="6" xfId="0" applyFont="1" applyFill="1" applyBorder="1" applyAlignment="1">
      <alignment horizontal="center" vertical="center"/>
    </xf>
    <xf numFmtId="0" fontId="23" fillId="0" borderId="3" xfId="0" applyFont="1" applyBorder="1" applyAlignment="1">
      <alignment horizontal="center"/>
    </xf>
    <xf numFmtId="0" fontId="23" fillId="0" borderId="9" xfId="0" applyFont="1" applyBorder="1" applyAlignment="1">
      <alignment horizontal="center"/>
    </xf>
    <xf numFmtId="0" fontId="24" fillId="0" borderId="0" xfId="0" applyFont="1" applyAlignment="1">
      <alignment horizontal="center" vertical="center" wrapText="1"/>
    </xf>
    <xf numFmtId="0" fontId="26" fillId="4" borderId="11" xfId="0" applyFont="1" applyFill="1" applyBorder="1" applyAlignment="1">
      <alignment horizontal="center" vertical="center"/>
    </xf>
    <xf numFmtId="0" fontId="26" fillId="4" borderId="12" xfId="0" applyFont="1" applyFill="1" applyBorder="1" applyAlignment="1">
      <alignment horizontal="center" vertical="center"/>
    </xf>
    <xf numFmtId="0" fontId="26" fillId="4" borderId="13" xfId="0" applyFont="1" applyFill="1" applyBorder="1" applyAlignment="1">
      <alignment horizontal="center" vertical="center"/>
    </xf>
    <xf numFmtId="0" fontId="15" fillId="0" borderId="0" xfId="0" applyFont="1" applyAlignment="1" applyProtection="1">
      <alignment horizontal="left" vertical="center"/>
      <protection hidden="1"/>
    </xf>
    <xf numFmtId="0" fontId="13" fillId="4" borderId="14" xfId="0" applyFont="1" applyFill="1" applyBorder="1" applyAlignment="1">
      <alignment horizontal="center" vertical="center"/>
    </xf>
    <xf numFmtId="3" fontId="14" fillId="4" borderId="14" xfId="0" applyNumberFormat="1" applyFont="1" applyFill="1" applyBorder="1" applyAlignment="1">
      <alignment horizontal="center" vertical="center"/>
    </xf>
    <xf numFmtId="0" fontId="0" fillId="0" borderId="0" xfId="0" applyFill="1" applyBorder="1"/>
    <xf numFmtId="3" fontId="2" fillId="0" borderId="0" xfId="0" applyNumberFormat="1" applyFont="1" applyFill="1" applyBorder="1" applyAlignment="1">
      <alignment horizontal="center" vertical="center"/>
    </xf>
    <xf numFmtId="165" fontId="14" fillId="0" borderId="0" xfId="0" applyNumberFormat="1" applyFont="1" applyFill="1" applyBorder="1" applyAlignment="1">
      <alignment horizontal="center" vertical="center"/>
    </xf>
    <xf numFmtId="3" fontId="14" fillId="0" borderId="0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19" fillId="0" borderId="0" xfId="0" applyFont="1" applyFill="1" applyBorder="1" applyAlignment="1">
      <alignment horizontal="center"/>
    </xf>
    <xf numFmtId="9" fontId="0" fillId="0" borderId="0" xfId="1" applyFont="1" applyFill="1" applyBorder="1" applyAlignment="1"/>
    <xf numFmtId="0" fontId="0" fillId="14" borderId="0" xfId="0" applyFill="1"/>
    <xf numFmtId="0" fontId="0" fillId="14" borderId="0" xfId="0" applyFill="1" applyBorder="1"/>
    <xf numFmtId="0" fontId="13" fillId="4" borderId="25" xfId="0" applyFont="1" applyFill="1" applyBorder="1" applyAlignment="1">
      <alignment horizontal="center" vertical="center"/>
    </xf>
    <xf numFmtId="0" fontId="0" fillId="0" borderId="0" xfId="0" applyBorder="1"/>
    <xf numFmtId="0" fontId="0" fillId="0" borderId="2" xfId="0" applyBorder="1"/>
    <xf numFmtId="0" fontId="0" fillId="0" borderId="0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left" wrapText="1"/>
    </xf>
    <xf numFmtId="0" fontId="54" fillId="0" borderId="0" xfId="0" applyFont="1" applyAlignment="1">
      <alignment horizontal="left" vertical="center"/>
    </xf>
    <xf numFmtId="0" fontId="54" fillId="0" borderId="0" xfId="0" applyFont="1"/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colors>
    <mruColors>
      <color rgb="FF00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V(X1)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'RESOLUÇÃO QUESTÃO 2'!$F$1</c:f>
              <c:strCache>
                <c:ptCount val="1"/>
                <c:pt idx="0">
                  <c:v>ê^2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'RESOLUÇÃO QUESTÃO 2'!$C$2:$C$9</c:f>
              <c:numCache>
                <c:formatCode>0.00</c:formatCode>
                <c:ptCount val="8"/>
                <c:pt idx="0">
                  <c:v>1170.5999999999999</c:v>
                </c:pt>
                <c:pt idx="1">
                  <c:v>1588</c:v>
                </c:pt>
                <c:pt idx="2">
                  <c:v>1687.2</c:v>
                </c:pt>
                <c:pt idx="3">
                  <c:v>1749.4</c:v>
                </c:pt>
                <c:pt idx="4">
                  <c:v>1834.1</c:v>
                </c:pt>
                <c:pt idx="5">
                  <c:v>2015.8</c:v>
                </c:pt>
                <c:pt idx="6">
                  <c:v>2039.7</c:v>
                </c:pt>
                <c:pt idx="7">
                  <c:v>2132.1999999999998</c:v>
                </c:pt>
              </c:numCache>
            </c:numRef>
          </c:xVal>
          <c:yVal>
            <c:numRef>
              <c:f>'RESOLUÇÃO QUESTÃO 2'!$F$2:$F$9</c:f>
              <c:numCache>
                <c:formatCode>0.00</c:formatCode>
                <c:ptCount val="8"/>
                <c:pt idx="0">
                  <c:v>15.47911574179734</c:v>
                </c:pt>
                <c:pt idx="1">
                  <c:v>58.114844144601719</c:v>
                </c:pt>
                <c:pt idx="2">
                  <c:v>188.30632620792773</c:v>
                </c:pt>
                <c:pt idx="3">
                  <c:v>6.6240431389142915E-2</c:v>
                </c:pt>
                <c:pt idx="4">
                  <c:v>13.529139905690736</c:v>
                </c:pt>
                <c:pt idx="5">
                  <c:v>85.595684312857941</c:v>
                </c:pt>
                <c:pt idx="6">
                  <c:v>356.46054828795343</c:v>
                </c:pt>
                <c:pt idx="7">
                  <c:v>722.31646611235101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8275472"/>
        <c:axId val="438276648"/>
      </c:scatterChart>
      <c:valAx>
        <c:axId val="4382754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38276648"/>
        <c:crosses val="autoZero"/>
        <c:crossBetween val="midCat"/>
      </c:valAx>
      <c:valAx>
        <c:axId val="438276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382754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'RESOLUÇÃO QUESTÃO 2'!$D$1</c:f>
              <c:strCache>
                <c:ptCount val="1"/>
                <c:pt idx="0">
                  <c:v>K(X2)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'RESOLUÇÃO QUESTÃO 2'!$D$2:$D$9</c:f>
              <c:numCache>
                <c:formatCode>0.00</c:formatCode>
                <c:ptCount val="8"/>
                <c:pt idx="0">
                  <c:v>97.8</c:v>
                </c:pt>
                <c:pt idx="1">
                  <c:v>287.8</c:v>
                </c:pt>
                <c:pt idx="2">
                  <c:v>321.3</c:v>
                </c:pt>
                <c:pt idx="3">
                  <c:v>319.89999999999998</c:v>
                </c:pt>
                <c:pt idx="4">
                  <c:v>220.9</c:v>
                </c:pt>
                <c:pt idx="5">
                  <c:v>104.4</c:v>
                </c:pt>
                <c:pt idx="6">
                  <c:v>156.19999999999999</c:v>
                </c:pt>
                <c:pt idx="7">
                  <c:v>186.6</c:v>
                </c:pt>
              </c:numCache>
            </c:numRef>
          </c:xVal>
          <c:yVal>
            <c:numRef>
              <c:f>'RESOLUÇÃO QUESTÃO 2'!$F$2:$F$9</c:f>
              <c:numCache>
                <c:formatCode>0.00</c:formatCode>
                <c:ptCount val="8"/>
                <c:pt idx="0">
                  <c:v>15.47911574179734</c:v>
                </c:pt>
                <c:pt idx="1">
                  <c:v>58.114844144601719</c:v>
                </c:pt>
                <c:pt idx="2">
                  <c:v>188.30632620792773</c:v>
                </c:pt>
                <c:pt idx="3">
                  <c:v>6.6240431389142915E-2</c:v>
                </c:pt>
                <c:pt idx="4">
                  <c:v>13.529139905690736</c:v>
                </c:pt>
                <c:pt idx="5">
                  <c:v>85.595684312857941</c:v>
                </c:pt>
                <c:pt idx="6">
                  <c:v>356.46054828795343</c:v>
                </c:pt>
                <c:pt idx="7">
                  <c:v>722.31646611235101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8275864"/>
        <c:axId val="438271944"/>
      </c:scatterChart>
      <c:valAx>
        <c:axId val="4382758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38271944"/>
        <c:crosses val="autoZero"/>
        <c:crossBetween val="midCat"/>
      </c:valAx>
      <c:valAx>
        <c:axId val="438271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382758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ê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'RESOLUÇÃO QUESTÃO 3'!$A$2:$A$16</c:f>
              <c:numCache>
                <c:formatCode>General</c:formatCode>
                <c:ptCount val="15"/>
                <c:pt idx="0">
                  <c:v>1958</c:v>
                </c:pt>
                <c:pt idx="1">
                  <c:v>1959</c:v>
                </c:pt>
                <c:pt idx="2">
                  <c:v>1960</c:v>
                </c:pt>
                <c:pt idx="3">
                  <c:v>1961</c:v>
                </c:pt>
                <c:pt idx="4">
                  <c:v>1962</c:v>
                </c:pt>
                <c:pt idx="5">
                  <c:v>1963</c:v>
                </c:pt>
                <c:pt idx="6">
                  <c:v>1964</c:v>
                </c:pt>
                <c:pt idx="7">
                  <c:v>1965</c:v>
                </c:pt>
                <c:pt idx="8">
                  <c:v>1966</c:v>
                </c:pt>
                <c:pt idx="9">
                  <c:v>1967</c:v>
                </c:pt>
                <c:pt idx="10">
                  <c:v>1968</c:v>
                </c:pt>
                <c:pt idx="11">
                  <c:v>1969</c:v>
                </c:pt>
                <c:pt idx="12">
                  <c:v>1970</c:v>
                </c:pt>
                <c:pt idx="13">
                  <c:v>1971</c:v>
                </c:pt>
                <c:pt idx="14">
                  <c:v>1972</c:v>
                </c:pt>
              </c:numCache>
            </c:numRef>
          </c:cat>
          <c:val>
            <c:numRef>
              <c:f>'RESOLUÇÃO QUESTÃO 3'!$A$2:$A$16</c:f>
              <c:numCache>
                <c:formatCode>General</c:formatCode>
                <c:ptCount val="15"/>
                <c:pt idx="0">
                  <c:v>1958</c:v>
                </c:pt>
                <c:pt idx="1">
                  <c:v>1959</c:v>
                </c:pt>
                <c:pt idx="2">
                  <c:v>1960</c:v>
                </c:pt>
                <c:pt idx="3">
                  <c:v>1961</c:v>
                </c:pt>
                <c:pt idx="4">
                  <c:v>1962</c:v>
                </c:pt>
                <c:pt idx="5">
                  <c:v>1963</c:v>
                </c:pt>
                <c:pt idx="6">
                  <c:v>1964</c:v>
                </c:pt>
                <c:pt idx="7">
                  <c:v>1965</c:v>
                </c:pt>
                <c:pt idx="8">
                  <c:v>1966</c:v>
                </c:pt>
                <c:pt idx="9">
                  <c:v>1967</c:v>
                </c:pt>
                <c:pt idx="10">
                  <c:v>1968</c:v>
                </c:pt>
                <c:pt idx="11">
                  <c:v>1969</c:v>
                </c:pt>
                <c:pt idx="12">
                  <c:v>1970</c:v>
                </c:pt>
                <c:pt idx="13">
                  <c:v>1971</c:v>
                </c:pt>
                <c:pt idx="14">
                  <c:v>1972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'RESOLUÇÃO QUESTÃO 3'!$F$1</c:f>
              <c:strCache>
                <c:ptCount val="1"/>
                <c:pt idx="0">
                  <c:v>ê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'RESOLUÇÃO QUESTÃO 3'!$F$2:$F$16</c:f>
              <c:numCache>
                <c:formatCode>#,##0.0</c:formatCode>
                <c:ptCount val="15"/>
                <c:pt idx="0">
                  <c:v>-2853.5786832915619</c:v>
                </c:pt>
                <c:pt idx="1">
                  <c:v>-2012.3194711468495</c:v>
                </c:pt>
                <c:pt idx="2">
                  <c:v>1112.4229506281299</c:v>
                </c:pt>
                <c:pt idx="3">
                  <c:v>1635.5936729967289</c:v>
                </c:pt>
                <c:pt idx="4">
                  <c:v>709.74309746034851</c:v>
                </c:pt>
                <c:pt idx="5">
                  <c:v>-445.80353549347637</c:v>
                </c:pt>
                <c:pt idx="6">
                  <c:v>1848.7333490465571</c:v>
                </c:pt>
                <c:pt idx="7">
                  <c:v>743.47004895051941</c:v>
                </c:pt>
                <c:pt idx="8">
                  <c:v>184.21170926076957</c:v>
                </c:pt>
                <c:pt idx="9">
                  <c:v>999.25076514312968</c:v>
                </c:pt>
                <c:pt idx="10">
                  <c:v>782.82532126805017</c:v>
                </c:pt>
                <c:pt idx="11">
                  <c:v>-1571.5446328596627</c:v>
                </c:pt>
                <c:pt idx="12">
                  <c:v>-393.46552731937118</c:v>
                </c:pt>
                <c:pt idx="13">
                  <c:v>-1019.0452356189962</c:v>
                </c:pt>
                <c:pt idx="14">
                  <c:v>279.50617182418864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5042056"/>
        <c:axId val="345039704"/>
      </c:lineChart>
      <c:catAx>
        <c:axId val="345042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45039704"/>
        <c:crosses val="autoZero"/>
        <c:auto val="1"/>
        <c:lblAlgn val="ctr"/>
        <c:lblOffset val="100"/>
        <c:noMultiLvlLbl val="0"/>
      </c:catAx>
      <c:valAx>
        <c:axId val="345039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450420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'RESOLUÇÃO QUESTÃO 3'!$G$101</c:f>
              <c:strCache>
                <c:ptCount val="1"/>
                <c:pt idx="0">
                  <c:v>rho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'RESOLUÇÃO QUESTÃO 3'!$F$101:$F$112</c:f>
              <c:strCache>
                <c:ptCount val="12"/>
                <c:pt idx="0">
                  <c:v>Lags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  <c:pt idx="10">
                  <c:v>9</c:v>
                </c:pt>
                <c:pt idx="11">
                  <c:v>10</c:v>
                </c:pt>
              </c:strCache>
            </c:strRef>
          </c:cat>
          <c:val>
            <c:numRef>
              <c:f>'RESOLUÇÃO QUESTÃO 3'!$G$102:$G$112</c:f>
              <c:numCache>
                <c:formatCode>0.000</c:formatCode>
                <c:ptCount val="11"/>
                <c:pt idx="0">
                  <c:v>0.99999999999999845</c:v>
                </c:pt>
                <c:pt idx="1">
                  <c:v>0.76403662168107278</c:v>
                </c:pt>
                <c:pt idx="2">
                  <c:v>0.56435937356634958</c:v>
                </c:pt>
                <c:pt idx="3">
                  <c:v>0.41355701191590699</c:v>
                </c:pt>
                <c:pt idx="4">
                  <c:v>0.29831808860772119</c:v>
                </c:pt>
                <c:pt idx="5">
                  <c:v>6.7258958203493563E-2</c:v>
                </c:pt>
                <c:pt idx="6">
                  <c:v>-0.14120250999032957</c:v>
                </c:pt>
                <c:pt idx="7">
                  <c:v>-0.26302204594733131</c:v>
                </c:pt>
                <c:pt idx="8">
                  <c:v>-0.36032323335128136</c:v>
                </c:pt>
                <c:pt idx="9">
                  <c:v>-0.43363976304146912</c:v>
                </c:pt>
                <c:pt idx="10">
                  <c:v>-0.38605371412959288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45043232"/>
        <c:axId val="345044016"/>
      </c:barChart>
      <c:lineChart>
        <c:grouping val="standard"/>
        <c:varyColors val="0"/>
        <c:ser>
          <c:idx val="2"/>
          <c:order val="1"/>
          <c:tx>
            <c:strRef>
              <c:f>'RESOLUÇÃO QUESTÃO 3'!$H$101</c:f>
              <c:strCache>
                <c:ptCount val="1"/>
                <c:pt idx="0">
                  <c:v>IC (inf)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'RESOLUÇÃO QUESTÃO 3'!$H$102:$H$112</c:f>
              <c:numCache>
                <c:formatCode>0.000</c:formatCode>
                <c:ptCount val="11"/>
                <c:pt idx="0">
                  <c:v>-0.50606052475266394</c:v>
                </c:pt>
                <c:pt idx="1">
                  <c:v>-0.50606052475266394</c:v>
                </c:pt>
                <c:pt idx="2">
                  <c:v>-0.74504483295809021</c:v>
                </c:pt>
                <c:pt idx="3">
                  <c:v>-0.74504483295809021</c:v>
                </c:pt>
                <c:pt idx="4">
                  <c:v>-0.74504483295809021</c:v>
                </c:pt>
                <c:pt idx="5">
                  <c:v>-0.74504483295809021</c:v>
                </c:pt>
                <c:pt idx="6">
                  <c:v>-0.74504483295809021</c:v>
                </c:pt>
                <c:pt idx="7">
                  <c:v>-0.74504483295809021</c:v>
                </c:pt>
                <c:pt idx="8">
                  <c:v>-0.74504483295809021</c:v>
                </c:pt>
                <c:pt idx="9">
                  <c:v>-0.74504483295809021</c:v>
                </c:pt>
                <c:pt idx="10">
                  <c:v>-0.74504483295809021</c:v>
                </c:pt>
              </c:numCache>
            </c:numRef>
          </c:val>
          <c:smooth val="0"/>
        </c:ser>
        <c:ser>
          <c:idx val="3"/>
          <c:order val="2"/>
          <c:tx>
            <c:strRef>
              <c:f>'RESOLUÇÃO QUESTÃO 3'!$I$101</c:f>
              <c:strCache>
                <c:ptCount val="1"/>
                <c:pt idx="0">
                  <c:v>IC (sup)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'RESOLUÇÃO QUESTÃO 3'!$I$102:$I$112</c:f>
              <c:numCache>
                <c:formatCode>0.000</c:formatCode>
                <c:ptCount val="11"/>
                <c:pt idx="0">
                  <c:v>0.50606052475266394</c:v>
                </c:pt>
                <c:pt idx="1">
                  <c:v>0.50606052475266394</c:v>
                </c:pt>
                <c:pt idx="2">
                  <c:v>0.74504483295809021</c:v>
                </c:pt>
                <c:pt idx="3">
                  <c:v>0.74504483295809021</c:v>
                </c:pt>
                <c:pt idx="4">
                  <c:v>0.74504483295809021</c:v>
                </c:pt>
                <c:pt idx="5">
                  <c:v>0.74504483295809021</c:v>
                </c:pt>
                <c:pt idx="6">
                  <c:v>0.74504483295809021</c:v>
                </c:pt>
                <c:pt idx="7">
                  <c:v>0.74504483295809021</c:v>
                </c:pt>
                <c:pt idx="8">
                  <c:v>0.74504483295809021</c:v>
                </c:pt>
                <c:pt idx="9">
                  <c:v>0.74504483295809021</c:v>
                </c:pt>
                <c:pt idx="10">
                  <c:v>0.74504483295809021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4540656"/>
        <c:axId val="298432664"/>
      </c:lineChart>
      <c:catAx>
        <c:axId val="345043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45044016"/>
        <c:crosses val="autoZero"/>
        <c:auto val="1"/>
        <c:lblAlgn val="ctr"/>
        <c:lblOffset val="100"/>
        <c:noMultiLvlLbl val="0"/>
      </c:catAx>
      <c:valAx>
        <c:axId val="34504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45043232"/>
        <c:crosses val="autoZero"/>
        <c:crossBetween val="between"/>
      </c:valAx>
      <c:valAx>
        <c:axId val="298432664"/>
        <c:scaling>
          <c:orientation val="minMax"/>
        </c:scaling>
        <c:delete val="0"/>
        <c:axPos val="r"/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44540656"/>
        <c:crosses val="max"/>
        <c:crossBetween val="between"/>
      </c:valAx>
      <c:catAx>
        <c:axId val="444540656"/>
        <c:scaling>
          <c:orientation val="minMax"/>
        </c:scaling>
        <c:delete val="1"/>
        <c:axPos val="b"/>
        <c:majorTickMark val="none"/>
        <c:minorTickMark val="none"/>
        <c:tickLblPos val="nextTo"/>
        <c:crossAx val="29843266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image" Target="../media/image1.png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38100</xdr:colOff>
      <xdr:row>13</xdr:row>
      <xdr:rowOff>85725</xdr:rowOff>
    </xdr:from>
    <xdr:to>
      <xdr:col>15</xdr:col>
      <xdr:colOff>485775</xdr:colOff>
      <xdr:row>14</xdr:row>
      <xdr:rowOff>190500</xdr:rowOff>
    </xdr:to>
    <xdr:sp macro="" textlink="">
      <xdr:nvSpPr>
        <xdr:cNvPr id="4" name="Seta para a direita 3"/>
        <xdr:cNvSpPr/>
      </xdr:nvSpPr>
      <xdr:spPr>
        <a:xfrm>
          <a:off x="10868025" y="2943225"/>
          <a:ext cx="447675" cy="304800"/>
        </a:xfrm>
        <a:prstGeom prst="rightArrow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b="1" cap="none" spc="0">
            <a:ln w="22225">
              <a:solidFill>
                <a:schemeClr val="accent2"/>
              </a:solidFill>
              <a:prstDash val="solid"/>
            </a:ln>
            <a:solidFill>
              <a:schemeClr val="accent2"/>
            </a:solidFill>
            <a:effectLst/>
          </a:endParaRPr>
        </a:p>
      </xdr:txBody>
    </xdr:sp>
    <xdr:clientData/>
  </xdr:twoCellAnchor>
  <xdr:twoCellAnchor>
    <xdr:from>
      <xdr:col>13</xdr:col>
      <xdr:colOff>71437</xdr:colOff>
      <xdr:row>24</xdr:row>
      <xdr:rowOff>119062</xdr:rowOff>
    </xdr:from>
    <xdr:to>
      <xdr:col>13</xdr:col>
      <xdr:colOff>519112</xdr:colOff>
      <xdr:row>26</xdr:row>
      <xdr:rowOff>33337</xdr:rowOff>
    </xdr:to>
    <xdr:sp macro="" textlink="">
      <xdr:nvSpPr>
        <xdr:cNvPr id="5" name="Seta para a direita 4"/>
        <xdr:cNvSpPr/>
      </xdr:nvSpPr>
      <xdr:spPr>
        <a:xfrm>
          <a:off x="10445750" y="4921250"/>
          <a:ext cx="447675" cy="295275"/>
        </a:xfrm>
        <a:prstGeom prst="rightArrow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b="1" cap="none" spc="0">
            <a:ln w="22225">
              <a:solidFill>
                <a:schemeClr val="accent2"/>
              </a:solidFill>
              <a:prstDash val="solid"/>
            </a:ln>
            <a:solidFill>
              <a:schemeClr val="accent2"/>
            </a:solidFill>
            <a:effectLst/>
          </a:endParaRPr>
        </a:p>
      </xdr:txBody>
    </xdr:sp>
    <xdr:clientData/>
  </xdr:twoCellAnchor>
  <xdr:twoCellAnchor>
    <xdr:from>
      <xdr:col>3</xdr:col>
      <xdr:colOff>646949</xdr:colOff>
      <xdr:row>11</xdr:row>
      <xdr:rowOff>106099</xdr:rowOff>
    </xdr:from>
    <xdr:to>
      <xdr:col>4</xdr:col>
      <xdr:colOff>497816</xdr:colOff>
      <xdr:row>13</xdr:row>
      <xdr:rowOff>12436</xdr:rowOff>
    </xdr:to>
    <xdr:sp macro="" textlink="">
      <xdr:nvSpPr>
        <xdr:cNvPr id="6" name="Seta para a direita 5"/>
        <xdr:cNvSpPr/>
      </xdr:nvSpPr>
      <xdr:spPr>
        <a:xfrm rot="8400212">
          <a:off x="2909137" y="2360349"/>
          <a:ext cx="604929" cy="295275"/>
        </a:xfrm>
        <a:prstGeom prst="rightArrow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b="1" cap="none" spc="0">
            <a:ln w="22225">
              <a:solidFill>
                <a:schemeClr val="accent2"/>
              </a:solidFill>
              <a:prstDash val="solid"/>
            </a:ln>
            <a:solidFill>
              <a:schemeClr val="accent2"/>
            </a:solidFill>
            <a:effectLst/>
          </a:endParaRPr>
        </a:p>
      </xdr:txBody>
    </xdr:sp>
    <xdr:clientData/>
  </xdr:twoCellAnchor>
  <xdr:twoCellAnchor>
    <xdr:from>
      <xdr:col>6</xdr:col>
      <xdr:colOff>198437</xdr:colOff>
      <xdr:row>44</xdr:row>
      <xdr:rowOff>15875</xdr:rowOff>
    </xdr:from>
    <xdr:to>
      <xdr:col>6</xdr:col>
      <xdr:colOff>769936</xdr:colOff>
      <xdr:row>44</xdr:row>
      <xdr:rowOff>190500</xdr:rowOff>
    </xdr:to>
    <xdr:sp macro="" textlink="">
      <xdr:nvSpPr>
        <xdr:cNvPr id="7" name="Seta para a direita 6"/>
        <xdr:cNvSpPr/>
      </xdr:nvSpPr>
      <xdr:spPr>
        <a:xfrm>
          <a:off x="4929187" y="8778875"/>
          <a:ext cx="571499" cy="174625"/>
        </a:xfrm>
        <a:prstGeom prst="rightArrow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b="1" cap="none" spc="0">
            <a:ln w="22225">
              <a:solidFill>
                <a:schemeClr val="accent2"/>
              </a:solidFill>
              <a:prstDash val="solid"/>
            </a:ln>
            <a:solidFill>
              <a:schemeClr val="accent2"/>
            </a:solidFill>
            <a:effectLst/>
          </a:endParaRPr>
        </a:p>
      </xdr:txBody>
    </xdr:sp>
    <xdr:clientData/>
  </xdr:twoCellAnchor>
  <xdr:twoCellAnchor>
    <xdr:from>
      <xdr:col>6</xdr:col>
      <xdr:colOff>222250</xdr:colOff>
      <xdr:row>65</xdr:row>
      <xdr:rowOff>15875</xdr:rowOff>
    </xdr:from>
    <xdr:to>
      <xdr:col>6</xdr:col>
      <xdr:colOff>793749</xdr:colOff>
      <xdr:row>65</xdr:row>
      <xdr:rowOff>190500</xdr:rowOff>
    </xdr:to>
    <xdr:sp macro="" textlink="">
      <xdr:nvSpPr>
        <xdr:cNvPr id="9" name="Seta para a direita 8"/>
        <xdr:cNvSpPr/>
      </xdr:nvSpPr>
      <xdr:spPr>
        <a:xfrm>
          <a:off x="4953000" y="13930313"/>
          <a:ext cx="571499" cy="174625"/>
        </a:xfrm>
        <a:prstGeom prst="rightArrow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b="1" cap="none" spc="0">
            <a:ln w="22225">
              <a:solidFill>
                <a:schemeClr val="accent2"/>
              </a:solidFill>
              <a:prstDash val="solid"/>
            </a:ln>
            <a:solidFill>
              <a:schemeClr val="accent2"/>
            </a:solidFill>
            <a:effectLst/>
          </a:endParaRPr>
        </a:p>
      </xdr:txBody>
    </xdr:sp>
    <xdr:clientData/>
  </xdr:twoCellAnchor>
  <xdr:twoCellAnchor>
    <xdr:from>
      <xdr:col>15</xdr:col>
      <xdr:colOff>38100</xdr:colOff>
      <xdr:row>81</xdr:row>
      <xdr:rowOff>85725</xdr:rowOff>
    </xdr:from>
    <xdr:to>
      <xdr:col>15</xdr:col>
      <xdr:colOff>485775</xdr:colOff>
      <xdr:row>82</xdr:row>
      <xdr:rowOff>190500</xdr:rowOff>
    </xdr:to>
    <xdr:sp macro="" textlink="">
      <xdr:nvSpPr>
        <xdr:cNvPr id="10" name="Seta para a direita 9"/>
        <xdr:cNvSpPr/>
      </xdr:nvSpPr>
      <xdr:spPr>
        <a:xfrm>
          <a:off x="12055475" y="2728913"/>
          <a:ext cx="447675" cy="295275"/>
        </a:xfrm>
        <a:prstGeom prst="rightArrow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b="1" cap="none" spc="0">
            <a:ln w="22225">
              <a:solidFill>
                <a:schemeClr val="accent2"/>
              </a:solidFill>
              <a:prstDash val="solid"/>
            </a:ln>
            <a:solidFill>
              <a:schemeClr val="accent2"/>
            </a:solidFill>
            <a:effectLst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28575</xdr:colOff>
      <xdr:row>16</xdr:row>
      <xdr:rowOff>142876</xdr:rowOff>
    </xdr:from>
    <xdr:to>
      <xdr:col>16</xdr:col>
      <xdr:colOff>581025</xdr:colOff>
      <xdr:row>18</xdr:row>
      <xdr:rowOff>26670</xdr:rowOff>
    </xdr:to>
    <xdr:sp macro="" textlink="">
      <xdr:nvSpPr>
        <xdr:cNvPr id="2" name="Seta para a direita 1"/>
        <xdr:cNvSpPr/>
      </xdr:nvSpPr>
      <xdr:spPr>
        <a:xfrm>
          <a:off x="11391900" y="3352801"/>
          <a:ext cx="552450" cy="264794"/>
        </a:xfrm>
        <a:prstGeom prst="rightArrow">
          <a:avLst/>
        </a:prstGeom>
        <a:solidFill>
          <a:schemeClr val="accent6">
            <a:lumMod val="75000"/>
          </a:schemeClr>
        </a:solidFill>
        <a:ln>
          <a:solidFill>
            <a:schemeClr val="accent6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104775</xdr:colOff>
      <xdr:row>7</xdr:row>
      <xdr:rowOff>161925</xdr:rowOff>
    </xdr:from>
    <xdr:to>
      <xdr:col>13</xdr:col>
      <xdr:colOff>657225</xdr:colOff>
      <xdr:row>9</xdr:row>
      <xdr:rowOff>26669</xdr:rowOff>
    </xdr:to>
    <xdr:sp macro="" textlink="">
      <xdr:nvSpPr>
        <xdr:cNvPr id="3" name="Seta para a direita 2"/>
        <xdr:cNvSpPr/>
      </xdr:nvSpPr>
      <xdr:spPr>
        <a:xfrm>
          <a:off x="9105900" y="1571625"/>
          <a:ext cx="552450" cy="274319"/>
        </a:xfrm>
        <a:prstGeom prst="rightArrow">
          <a:avLst/>
        </a:prstGeom>
        <a:solidFill>
          <a:schemeClr val="accent6">
            <a:lumMod val="75000"/>
          </a:schemeClr>
        </a:solidFill>
        <a:ln>
          <a:solidFill>
            <a:schemeClr val="accent6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276225</xdr:colOff>
      <xdr:row>23</xdr:row>
      <xdr:rowOff>9525</xdr:rowOff>
    </xdr:from>
    <xdr:to>
      <xdr:col>6</xdr:col>
      <xdr:colOff>828675</xdr:colOff>
      <xdr:row>24</xdr:row>
      <xdr:rowOff>93344</xdr:rowOff>
    </xdr:to>
    <xdr:sp macro="" textlink="">
      <xdr:nvSpPr>
        <xdr:cNvPr id="7" name="Seta para a direita 6"/>
        <xdr:cNvSpPr/>
      </xdr:nvSpPr>
      <xdr:spPr>
        <a:xfrm rot="10800000">
          <a:off x="4429125" y="4610100"/>
          <a:ext cx="552450" cy="274319"/>
        </a:xfrm>
        <a:prstGeom prst="rightArrow">
          <a:avLst/>
        </a:prstGeom>
        <a:solidFill>
          <a:schemeClr val="accent6">
            <a:lumMod val="75000"/>
          </a:schemeClr>
        </a:solidFill>
        <a:ln>
          <a:solidFill>
            <a:schemeClr val="accent6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</xdr:col>
      <xdr:colOff>28575</xdr:colOff>
      <xdr:row>21</xdr:row>
      <xdr:rowOff>138112</xdr:rowOff>
    </xdr:from>
    <xdr:to>
      <xdr:col>11</xdr:col>
      <xdr:colOff>0</xdr:colOff>
      <xdr:row>36</xdr:row>
      <xdr:rowOff>0</xdr:rowOff>
    </xdr:to>
    <xdr:graphicFrame macro="">
      <xdr:nvGraphicFramePr>
        <xdr:cNvPr id="9" name="Gráfico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19050</xdr:colOff>
      <xdr:row>21</xdr:row>
      <xdr:rowOff>138112</xdr:rowOff>
    </xdr:from>
    <xdr:to>
      <xdr:col>16</xdr:col>
      <xdr:colOff>476250</xdr:colOff>
      <xdr:row>35</xdr:row>
      <xdr:rowOff>133350</xdr:rowOff>
    </xdr:to>
    <xdr:graphicFrame macro="">
      <xdr:nvGraphicFramePr>
        <xdr:cNvPr id="10" name="Gráfico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52388</xdr:colOff>
      <xdr:row>90</xdr:row>
      <xdr:rowOff>176212</xdr:rowOff>
    </xdr:from>
    <xdr:to>
      <xdr:col>19</xdr:col>
      <xdr:colOff>614363</xdr:colOff>
      <xdr:row>92</xdr:row>
      <xdr:rowOff>60006</xdr:rowOff>
    </xdr:to>
    <xdr:sp macro="" textlink="">
      <xdr:nvSpPr>
        <xdr:cNvPr id="14" name="Seta para a direita 13"/>
        <xdr:cNvSpPr/>
      </xdr:nvSpPr>
      <xdr:spPr>
        <a:xfrm rot="1965511">
          <a:off x="17911763" y="18149887"/>
          <a:ext cx="561975" cy="283844"/>
        </a:xfrm>
        <a:prstGeom prst="rightArrow">
          <a:avLst/>
        </a:prstGeom>
        <a:solidFill>
          <a:schemeClr val="accent6">
            <a:lumMod val="75000"/>
          </a:schemeClr>
        </a:solidFill>
        <a:ln>
          <a:solidFill>
            <a:schemeClr val="accent6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24</xdr:col>
      <xdr:colOff>79629</xdr:colOff>
      <xdr:row>100</xdr:row>
      <xdr:rowOff>192730</xdr:rowOff>
    </xdr:from>
    <xdr:to>
      <xdr:col>24</xdr:col>
      <xdr:colOff>603831</xdr:colOff>
      <xdr:row>102</xdr:row>
      <xdr:rowOff>30225</xdr:rowOff>
    </xdr:to>
    <xdr:sp macro="" textlink="">
      <xdr:nvSpPr>
        <xdr:cNvPr id="15" name="Seta para a direita 14"/>
        <xdr:cNvSpPr/>
      </xdr:nvSpPr>
      <xdr:spPr>
        <a:xfrm>
          <a:off x="21996654" y="20252380"/>
          <a:ext cx="524202" cy="247070"/>
        </a:xfrm>
        <a:prstGeom prst="rightArrow">
          <a:avLst/>
        </a:prstGeom>
        <a:solidFill>
          <a:schemeClr val="accent6">
            <a:lumMod val="75000"/>
          </a:schemeClr>
        </a:solidFill>
        <a:ln>
          <a:solidFill>
            <a:schemeClr val="accent6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16</xdr:row>
      <xdr:rowOff>61912</xdr:rowOff>
    </xdr:from>
    <xdr:to>
      <xdr:col>8</xdr:col>
      <xdr:colOff>628650</xdr:colOff>
      <xdr:row>31</xdr:row>
      <xdr:rowOff>171450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66676</xdr:colOff>
      <xdr:row>16</xdr:row>
      <xdr:rowOff>85724</xdr:rowOff>
    </xdr:from>
    <xdr:to>
      <xdr:col>19</xdr:col>
      <xdr:colOff>561976</xdr:colOff>
      <xdr:row>17</xdr:row>
      <xdr:rowOff>190499</xdr:rowOff>
    </xdr:to>
    <xdr:sp macro="" textlink="">
      <xdr:nvSpPr>
        <xdr:cNvPr id="2" name="Seta para a direita 1"/>
        <xdr:cNvSpPr/>
      </xdr:nvSpPr>
      <xdr:spPr>
        <a:xfrm>
          <a:off x="15449551" y="3371849"/>
          <a:ext cx="495300" cy="31432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190500</xdr:colOff>
      <xdr:row>8</xdr:row>
      <xdr:rowOff>95250</xdr:rowOff>
    </xdr:from>
    <xdr:to>
      <xdr:col>9</xdr:col>
      <xdr:colOff>685800</xdr:colOff>
      <xdr:row>10</xdr:row>
      <xdr:rowOff>0</xdr:rowOff>
    </xdr:to>
    <xdr:sp macro="" textlink="">
      <xdr:nvSpPr>
        <xdr:cNvPr id="4" name="Seta para a direita 3"/>
        <xdr:cNvSpPr/>
      </xdr:nvSpPr>
      <xdr:spPr>
        <a:xfrm>
          <a:off x="5553075" y="1714500"/>
          <a:ext cx="495300" cy="31432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11</xdr:col>
      <xdr:colOff>323850</xdr:colOff>
      <xdr:row>43</xdr:row>
      <xdr:rowOff>66675</xdr:rowOff>
    </xdr:from>
    <xdr:to>
      <xdr:col>11</xdr:col>
      <xdr:colOff>819150</xdr:colOff>
      <xdr:row>44</xdr:row>
      <xdr:rowOff>171450</xdr:rowOff>
    </xdr:to>
    <xdr:sp macro="" textlink="">
      <xdr:nvSpPr>
        <xdr:cNvPr id="5" name="Seta para a direita 4"/>
        <xdr:cNvSpPr/>
      </xdr:nvSpPr>
      <xdr:spPr>
        <a:xfrm>
          <a:off x="8829675" y="8715375"/>
          <a:ext cx="495300" cy="31432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oneCell">
    <xdr:from>
      <xdr:col>7</xdr:col>
      <xdr:colOff>0</xdr:colOff>
      <xdr:row>54</xdr:row>
      <xdr:rowOff>19050</xdr:rowOff>
    </xdr:from>
    <xdr:to>
      <xdr:col>11</xdr:col>
      <xdr:colOff>660802</xdr:colOff>
      <xdr:row>72</xdr:row>
      <xdr:rowOff>180975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xmlns="" id="{87E1E7B2-A559-4B6D-9710-885CA1E35A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448175" y="10887075"/>
          <a:ext cx="4718452" cy="3781425"/>
        </a:xfrm>
        <a:prstGeom prst="rect">
          <a:avLst/>
        </a:prstGeom>
      </xdr:spPr>
    </xdr:pic>
    <xdr:clientData/>
  </xdr:twoCellAnchor>
  <xdr:twoCellAnchor>
    <xdr:from>
      <xdr:col>8</xdr:col>
      <xdr:colOff>342900</xdr:colOff>
      <xdr:row>58</xdr:row>
      <xdr:rowOff>180975</xdr:rowOff>
    </xdr:from>
    <xdr:to>
      <xdr:col>8</xdr:col>
      <xdr:colOff>1143000</xdr:colOff>
      <xdr:row>60</xdr:row>
      <xdr:rowOff>57150</xdr:rowOff>
    </xdr:to>
    <xdr:sp macro="" textlink="">
      <xdr:nvSpPr>
        <xdr:cNvPr id="8" name="Retângulo 7"/>
        <xdr:cNvSpPr/>
      </xdr:nvSpPr>
      <xdr:spPr>
        <a:xfrm>
          <a:off x="5724525" y="11858625"/>
          <a:ext cx="800100" cy="276225"/>
        </a:xfrm>
        <a:prstGeom prst="rect">
          <a:avLst/>
        </a:prstGeom>
        <a:solidFill>
          <a:schemeClr val="accent1">
            <a:alpha val="26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104775</xdr:colOff>
      <xdr:row>55</xdr:row>
      <xdr:rowOff>47625</xdr:rowOff>
    </xdr:from>
    <xdr:to>
      <xdr:col>2</xdr:col>
      <xdr:colOff>600075</xdr:colOff>
      <xdr:row>56</xdr:row>
      <xdr:rowOff>161925</xdr:rowOff>
    </xdr:to>
    <xdr:sp macro="" textlink="">
      <xdr:nvSpPr>
        <xdr:cNvPr id="9" name="Seta para a direita 8"/>
        <xdr:cNvSpPr/>
      </xdr:nvSpPr>
      <xdr:spPr>
        <a:xfrm>
          <a:off x="1438275" y="11125200"/>
          <a:ext cx="495300" cy="31432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142875</xdr:colOff>
      <xdr:row>80</xdr:row>
      <xdr:rowOff>19050</xdr:rowOff>
    </xdr:from>
    <xdr:to>
      <xdr:col>13</xdr:col>
      <xdr:colOff>638175</xdr:colOff>
      <xdr:row>81</xdr:row>
      <xdr:rowOff>142875</xdr:rowOff>
    </xdr:to>
    <xdr:sp macro="" textlink="">
      <xdr:nvSpPr>
        <xdr:cNvPr id="10" name="Seta para a direita 9"/>
        <xdr:cNvSpPr/>
      </xdr:nvSpPr>
      <xdr:spPr>
        <a:xfrm>
          <a:off x="11334750" y="16068675"/>
          <a:ext cx="495300" cy="31432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295275</xdr:colOff>
      <xdr:row>99</xdr:row>
      <xdr:rowOff>166687</xdr:rowOff>
    </xdr:from>
    <xdr:to>
      <xdr:col>13</xdr:col>
      <xdr:colOff>257175</xdr:colOff>
      <xdr:row>113</xdr:row>
      <xdr:rowOff>90487</xdr:rowOff>
    </xdr:to>
    <xdr:graphicFrame macro="">
      <xdr:nvGraphicFramePr>
        <xdr:cNvPr id="15" name="Gráfico 1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3"/>
  <dimension ref="B1:AA25"/>
  <sheetViews>
    <sheetView showGridLines="0" topLeftCell="L1" zoomScaleNormal="100" workbookViewId="0">
      <selection activeCell="P9" sqref="P9"/>
    </sheetView>
  </sheetViews>
  <sheetFormatPr defaultColWidth="9.140625" defaultRowHeight="16.5" customHeight="1" x14ac:dyDescent="0.25"/>
  <cols>
    <col min="1" max="1" width="0.85546875" style="1" customWidth="1"/>
    <col min="2" max="2" width="20.7109375" style="1" bestFit="1" customWidth="1"/>
    <col min="3" max="13" width="9.140625" style="1" customWidth="1"/>
    <col min="14" max="14" width="0.140625" style="1" customWidth="1"/>
    <col min="15" max="15" width="0.85546875" style="1" customWidth="1"/>
    <col min="16" max="21" width="9.140625" style="1" customWidth="1"/>
    <col min="22" max="16384" width="9.140625" style="1"/>
  </cols>
  <sheetData>
    <row r="1" spans="2:27" ht="16.5" customHeight="1" thickBot="1" x14ac:dyDescent="0.3"/>
    <row r="2" spans="2:27" ht="16.5" customHeight="1" x14ac:dyDescent="0.25">
      <c r="B2" s="265" t="s">
        <v>2</v>
      </c>
      <c r="C2" s="266"/>
      <c r="D2" s="267" t="s">
        <v>0</v>
      </c>
      <c r="E2" s="267"/>
      <c r="F2" s="267"/>
      <c r="G2" s="267"/>
      <c r="H2" s="267"/>
      <c r="I2" s="267"/>
      <c r="J2" s="267"/>
      <c r="K2" s="267"/>
      <c r="L2" s="267"/>
      <c r="M2" s="268"/>
      <c r="P2" s="258" t="s">
        <v>14</v>
      </c>
      <c r="Q2" s="258"/>
      <c r="R2" s="258"/>
      <c r="S2" s="258"/>
      <c r="T2" s="258"/>
      <c r="U2" s="258"/>
      <c r="V2" s="258"/>
      <c r="W2" s="258"/>
      <c r="X2" s="258"/>
      <c r="Y2" s="258"/>
      <c r="Z2" s="258"/>
      <c r="AA2" s="258"/>
    </row>
    <row r="3" spans="2:27" ht="16.5" customHeight="1" x14ac:dyDescent="0.25">
      <c r="B3" s="273"/>
      <c r="C3" s="274"/>
      <c r="D3" s="269"/>
      <c r="E3" s="269"/>
      <c r="F3" s="269"/>
      <c r="G3" s="269"/>
      <c r="H3" s="269"/>
      <c r="I3" s="269"/>
      <c r="J3" s="269"/>
      <c r="K3" s="269"/>
      <c r="L3" s="269"/>
      <c r="M3" s="270"/>
      <c r="P3" s="258"/>
      <c r="Q3" s="258"/>
      <c r="R3" s="258"/>
      <c r="S3" s="258"/>
      <c r="T3" s="258"/>
      <c r="U3" s="258"/>
      <c r="V3" s="258"/>
      <c r="W3" s="258"/>
      <c r="X3" s="258"/>
      <c r="Y3" s="258"/>
      <c r="Z3" s="258"/>
      <c r="AA3" s="258"/>
    </row>
    <row r="4" spans="2:27" ht="16.5" customHeight="1" x14ac:dyDescent="0.25">
      <c r="B4" s="273">
        <v>101190648</v>
      </c>
      <c r="C4" s="274"/>
      <c r="D4" s="269"/>
      <c r="E4" s="269"/>
      <c r="F4" s="269"/>
      <c r="G4" s="269"/>
      <c r="H4" s="269"/>
      <c r="I4" s="269"/>
      <c r="J4" s="269"/>
      <c r="K4" s="269"/>
      <c r="L4" s="269"/>
      <c r="M4" s="270"/>
      <c r="P4" s="2" t="s">
        <v>15</v>
      </c>
    </row>
    <row r="5" spans="2:27" ht="16.5" customHeight="1" thickBot="1" x14ac:dyDescent="0.3">
      <c r="B5" s="275"/>
      <c r="C5" s="276"/>
      <c r="D5" s="271" t="s">
        <v>1</v>
      </c>
      <c r="E5" s="271"/>
      <c r="F5" s="271"/>
      <c r="G5" s="271"/>
      <c r="H5" s="271"/>
      <c r="I5" s="271"/>
      <c r="J5" s="271"/>
      <c r="K5" s="271"/>
      <c r="L5" s="271"/>
      <c r="M5" s="272"/>
      <c r="P5" s="3" t="s">
        <v>33</v>
      </c>
    </row>
    <row r="6" spans="2:27" ht="16.5" customHeight="1" x14ac:dyDescent="0.25">
      <c r="B6" s="259" t="s">
        <v>23</v>
      </c>
      <c r="C6" s="260"/>
      <c r="D6" s="260"/>
      <c r="E6" s="260"/>
      <c r="F6" s="260"/>
      <c r="G6" s="260"/>
      <c r="H6" s="260"/>
      <c r="I6" s="260"/>
      <c r="J6" s="260"/>
      <c r="K6" s="260"/>
      <c r="L6" s="260"/>
      <c r="M6" s="261"/>
      <c r="P6" s="3" t="s">
        <v>3</v>
      </c>
    </row>
    <row r="7" spans="2:27" ht="16.5" customHeight="1" x14ac:dyDescent="0.25">
      <c r="B7" s="259"/>
      <c r="C7" s="260"/>
      <c r="D7" s="260"/>
      <c r="E7" s="260"/>
      <c r="F7" s="260"/>
      <c r="G7" s="260"/>
      <c r="H7" s="260"/>
      <c r="I7" s="260"/>
      <c r="J7" s="260"/>
      <c r="K7" s="260"/>
      <c r="L7" s="260"/>
      <c r="M7" s="261"/>
      <c r="P7" s="3" t="s">
        <v>34</v>
      </c>
    </row>
    <row r="8" spans="2:27" ht="16.5" customHeight="1" x14ac:dyDescent="0.25">
      <c r="B8" s="259"/>
      <c r="C8" s="260"/>
      <c r="D8" s="260"/>
      <c r="E8" s="260"/>
      <c r="F8" s="260"/>
      <c r="G8" s="260"/>
      <c r="H8" s="260"/>
      <c r="I8" s="260"/>
      <c r="J8" s="260"/>
      <c r="K8" s="260"/>
      <c r="L8" s="260"/>
      <c r="M8" s="261"/>
      <c r="P8" s="3" t="s">
        <v>4</v>
      </c>
    </row>
    <row r="9" spans="2:27" ht="16.5" customHeight="1" x14ac:dyDescent="0.25">
      <c r="B9" s="259"/>
      <c r="C9" s="260"/>
      <c r="D9" s="260"/>
      <c r="E9" s="260"/>
      <c r="F9" s="260"/>
      <c r="G9" s="260"/>
      <c r="H9" s="260"/>
      <c r="I9" s="260"/>
      <c r="J9" s="260"/>
      <c r="K9" s="260"/>
      <c r="L9" s="260"/>
      <c r="M9" s="261"/>
      <c r="P9" s="3" t="s">
        <v>5</v>
      </c>
    </row>
    <row r="10" spans="2:27" ht="16.5" customHeight="1" x14ac:dyDescent="0.25">
      <c r="B10" s="259"/>
      <c r="C10" s="260"/>
      <c r="D10" s="260"/>
      <c r="E10" s="260"/>
      <c r="F10" s="260"/>
      <c r="G10" s="260"/>
      <c r="H10" s="260"/>
      <c r="I10" s="260"/>
      <c r="J10" s="260"/>
      <c r="K10" s="260"/>
      <c r="L10" s="260"/>
      <c r="M10" s="261"/>
    </row>
    <row r="11" spans="2:27" ht="16.5" customHeight="1" x14ac:dyDescent="0.25">
      <c r="B11" s="259"/>
      <c r="C11" s="260"/>
      <c r="D11" s="260"/>
      <c r="E11" s="260"/>
      <c r="F11" s="260"/>
      <c r="G11" s="260"/>
      <c r="H11" s="260"/>
      <c r="I11" s="260"/>
      <c r="J11" s="260"/>
      <c r="K11" s="260"/>
      <c r="L11" s="260"/>
      <c r="M11" s="261"/>
      <c r="P11" s="2"/>
    </row>
    <row r="12" spans="2:27" ht="16.5" customHeight="1" x14ac:dyDescent="0.25">
      <c r="B12" s="259"/>
      <c r="C12" s="260"/>
      <c r="D12" s="260"/>
      <c r="E12" s="260"/>
      <c r="F12" s="260"/>
      <c r="G12" s="260"/>
      <c r="H12" s="260"/>
      <c r="I12" s="260"/>
      <c r="J12" s="260"/>
      <c r="K12" s="260"/>
      <c r="L12" s="260"/>
      <c r="M12" s="261"/>
      <c r="P12" s="5" t="s">
        <v>6</v>
      </c>
      <c r="Q12" s="5" t="s">
        <v>7</v>
      </c>
      <c r="R12" s="5" t="s">
        <v>8</v>
      </c>
    </row>
    <row r="13" spans="2:27" ht="16.5" customHeight="1" thickBot="1" x14ac:dyDescent="0.3">
      <c r="B13" s="262"/>
      <c r="C13" s="263"/>
      <c r="D13" s="263"/>
      <c r="E13" s="263"/>
      <c r="F13" s="263"/>
      <c r="G13" s="263"/>
      <c r="H13" s="263"/>
      <c r="I13" s="263"/>
      <c r="J13" s="263"/>
      <c r="K13" s="263"/>
      <c r="L13" s="263"/>
      <c r="M13" s="264"/>
      <c r="P13" s="6">
        <v>2073</v>
      </c>
      <c r="Q13" s="7">
        <v>0.85</v>
      </c>
      <c r="R13" s="7">
        <v>0.88</v>
      </c>
    </row>
    <row r="14" spans="2:27" ht="16.5" customHeight="1" x14ac:dyDescent="0.25">
      <c r="P14" s="6">
        <v>2136</v>
      </c>
      <c r="Q14" s="7">
        <v>0.75</v>
      </c>
      <c r="R14" s="7">
        <v>1.03</v>
      </c>
    </row>
    <row r="15" spans="2:27" ht="16.5" customHeight="1" x14ac:dyDescent="0.25">
      <c r="P15" s="6">
        <v>1879</v>
      </c>
      <c r="Q15" s="7">
        <v>0.6</v>
      </c>
      <c r="R15" s="7">
        <v>0.91</v>
      </c>
    </row>
    <row r="16" spans="2:27" ht="16.5" customHeight="1" x14ac:dyDescent="0.25">
      <c r="P16" s="6">
        <v>938</v>
      </c>
      <c r="Q16" s="7">
        <v>1</v>
      </c>
      <c r="R16" s="7">
        <v>0.91</v>
      </c>
    </row>
    <row r="17" spans="2:18" ht="16.5" customHeight="1" x14ac:dyDescent="0.25">
      <c r="P17" s="6">
        <v>7343</v>
      </c>
      <c r="Q17" s="7">
        <v>0.5</v>
      </c>
      <c r="R17" s="7">
        <v>0.97</v>
      </c>
    </row>
    <row r="18" spans="2:18" ht="16.5" customHeight="1" x14ac:dyDescent="0.25">
      <c r="P18" s="6">
        <v>838</v>
      </c>
      <c r="Q18" s="7">
        <v>0.85</v>
      </c>
      <c r="R18" s="7">
        <v>0.88</v>
      </c>
    </row>
    <row r="19" spans="2:18" ht="16.5" customHeight="1" x14ac:dyDescent="0.25">
      <c r="P19" s="6">
        <v>1648</v>
      </c>
      <c r="Q19" s="7">
        <v>1</v>
      </c>
      <c r="R19" s="7">
        <v>0.91</v>
      </c>
    </row>
    <row r="20" spans="2:18" ht="16.5" customHeight="1" x14ac:dyDescent="0.25">
      <c r="P20" s="6">
        <v>739</v>
      </c>
      <c r="Q20" s="7">
        <v>0.75</v>
      </c>
      <c r="R20" s="7">
        <v>0.89</v>
      </c>
    </row>
    <row r="21" spans="2:18" ht="16.5" customHeight="1" x14ac:dyDescent="0.25">
      <c r="P21" s="6">
        <v>1071</v>
      </c>
      <c r="Q21" s="7">
        <v>1.5</v>
      </c>
      <c r="R21" s="7">
        <v>0.89</v>
      </c>
    </row>
    <row r="22" spans="2:18" ht="16.5" customHeight="1" x14ac:dyDescent="0.25">
      <c r="P22" s="6">
        <v>275</v>
      </c>
      <c r="Q22" s="7">
        <v>1.5</v>
      </c>
      <c r="R22" s="7">
        <v>0.89</v>
      </c>
    </row>
    <row r="25" spans="2:18" ht="16.5" customHeight="1" x14ac:dyDescent="0.25">
      <c r="B25" s="2"/>
    </row>
  </sheetData>
  <sheetProtection selectLockedCells="1"/>
  <mergeCells count="7">
    <mergeCell ref="P2:AA3"/>
    <mergeCell ref="B6:M13"/>
    <mergeCell ref="B2:C2"/>
    <mergeCell ref="D2:M4"/>
    <mergeCell ref="D5:M5"/>
    <mergeCell ref="B3:C3"/>
    <mergeCell ref="B4:C5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A25"/>
  <sheetViews>
    <sheetView showGridLines="0" zoomScaleNormal="100" workbookViewId="0">
      <selection activeCell="B4" sqref="B4:C5"/>
    </sheetView>
  </sheetViews>
  <sheetFormatPr defaultColWidth="9.140625" defaultRowHeight="16.5" customHeight="1" x14ac:dyDescent="0.25"/>
  <cols>
    <col min="1" max="1" width="0.85546875" style="1" customWidth="1"/>
    <col min="2" max="2" width="20.7109375" style="1" bestFit="1" customWidth="1"/>
    <col min="3" max="13" width="9.140625" style="1" customWidth="1"/>
    <col min="14" max="14" width="0.140625" style="1" customWidth="1"/>
    <col min="15" max="15" width="0.85546875" style="1" customWidth="1"/>
    <col min="16" max="21" width="9.140625" style="1" customWidth="1"/>
    <col min="22" max="16384" width="9.140625" style="1"/>
  </cols>
  <sheetData>
    <row r="1" spans="2:27" ht="16.5" customHeight="1" thickBot="1" x14ac:dyDescent="0.3"/>
    <row r="2" spans="2:27" ht="16.5" customHeight="1" x14ac:dyDescent="0.25">
      <c r="B2" s="265" t="s">
        <v>2</v>
      </c>
      <c r="C2" s="266"/>
      <c r="D2" s="267" t="s">
        <v>0</v>
      </c>
      <c r="E2" s="267"/>
      <c r="F2" s="267"/>
      <c r="G2" s="267"/>
      <c r="H2" s="267"/>
      <c r="I2" s="267"/>
      <c r="J2" s="267"/>
      <c r="K2" s="267"/>
      <c r="L2" s="267"/>
      <c r="M2" s="268"/>
      <c r="P2" s="258" t="s">
        <v>13</v>
      </c>
      <c r="Q2" s="258"/>
      <c r="R2" s="258"/>
      <c r="S2" s="258"/>
      <c r="T2" s="258"/>
      <c r="U2" s="258"/>
      <c r="V2" s="258"/>
      <c r="W2" s="258"/>
      <c r="X2" s="258"/>
      <c r="Y2" s="258"/>
      <c r="Z2" s="258"/>
      <c r="AA2" s="258"/>
    </row>
    <row r="3" spans="2:27" ht="16.5" customHeight="1" x14ac:dyDescent="0.25">
      <c r="B3" s="273"/>
      <c r="C3" s="274"/>
      <c r="D3" s="269"/>
      <c r="E3" s="269"/>
      <c r="F3" s="269"/>
      <c r="G3" s="269"/>
      <c r="H3" s="269"/>
      <c r="I3" s="269"/>
      <c r="J3" s="269"/>
      <c r="K3" s="269"/>
      <c r="L3" s="269"/>
      <c r="M3" s="270"/>
      <c r="P3" s="258"/>
      <c r="Q3" s="258"/>
      <c r="R3" s="258"/>
      <c r="S3" s="258"/>
      <c r="T3" s="258"/>
      <c r="U3" s="258"/>
      <c r="V3" s="258"/>
      <c r="W3" s="258"/>
      <c r="X3" s="258"/>
      <c r="Y3" s="258"/>
      <c r="Z3" s="258"/>
      <c r="AA3" s="258"/>
    </row>
    <row r="4" spans="2:27" ht="16.5" customHeight="1" x14ac:dyDescent="0.25">
      <c r="B4" s="273">
        <v>101190648</v>
      </c>
      <c r="C4" s="274"/>
      <c r="D4" s="269"/>
      <c r="E4" s="269"/>
      <c r="F4" s="269"/>
      <c r="G4" s="269"/>
      <c r="H4" s="269"/>
      <c r="I4" s="269"/>
      <c r="J4" s="269"/>
      <c r="K4" s="269"/>
      <c r="L4" s="269"/>
      <c r="M4" s="270"/>
      <c r="P4" s="2" t="s">
        <v>21</v>
      </c>
    </row>
    <row r="5" spans="2:27" ht="16.5" customHeight="1" thickBot="1" x14ac:dyDescent="0.3">
      <c r="B5" s="275"/>
      <c r="C5" s="276"/>
      <c r="D5" s="271" t="s">
        <v>9</v>
      </c>
      <c r="E5" s="271"/>
      <c r="F5" s="271"/>
      <c r="G5" s="271"/>
      <c r="H5" s="271"/>
      <c r="I5" s="271"/>
      <c r="J5" s="271"/>
      <c r="K5" s="271"/>
      <c r="L5" s="271"/>
      <c r="M5" s="272"/>
      <c r="P5" s="3" t="s">
        <v>22</v>
      </c>
    </row>
    <row r="6" spans="2:27" ht="16.5" customHeight="1" x14ac:dyDescent="0.25">
      <c r="B6" s="259" t="s">
        <v>24</v>
      </c>
      <c r="C6" s="260"/>
      <c r="D6" s="260"/>
      <c r="E6" s="260"/>
      <c r="F6" s="260"/>
      <c r="G6" s="260"/>
      <c r="H6" s="260"/>
      <c r="I6" s="260"/>
      <c r="J6" s="260"/>
      <c r="K6" s="260"/>
      <c r="L6" s="260"/>
      <c r="M6" s="261"/>
      <c r="P6" s="3" t="s">
        <v>16</v>
      </c>
    </row>
    <row r="7" spans="2:27" ht="16.5" customHeight="1" x14ac:dyDescent="0.25">
      <c r="B7" s="259"/>
      <c r="C7" s="260"/>
      <c r="D7" s="260"/>
      <c r="E7" s="260"/>
      <c r="F7" s="260"/>
      <c r="G7" s="260"/>
      <c r="H7" s="260"/>
      <c r="I7" s="260"/>
      <c r="J7" s="260"/>
      <c r="K7" s="260"/>
      <c r="L7" s="260"/>
      <c r="M7" s="261"/>
      <c r="P7" s="3" t="s">
        <v>17</v>
      </c>
    </row>
    <row r="8" spans="2:27" ht="16.5" customHeight="1" x14ac:dyDescent="0.25">
      <c r="B8" s="259"/>
      <c r="C8" s="260"/>
      <c r="D8" s="260"/>
      <c r="E8" s="260"/>
      <c r="F8" s="260"/>
      <c r="G8" s="260"/>
      <c r="H8" s="260"/>
      <c r="I8" s="260"/>
      <c r="J8" s="260"/>
      <c r="K8" s="260"/>
      <c r="L8" s="260"/>
      <c r="M8" s="261"/>
      <c r="P8" s="3" t="s">
        <v>18</v>
      </c>
    </row>
    <row r="9" spans="2:27" ht="16.5" customHeight="1" x14ac:dyDescent="0.25">
      <c r="B9" s="259"/>
      <c r="C9" s="260"/>
      <c r="D9" s="260"/>
      <c r="E9" s="260"/>
      <c r="F9" s="260"/>
      <c r="G9" s="260"/>
      <c r="H9" s="260"/>
      <c r="I9" s="260"/>
      <c r="J9" s="260"/>
      <c r="K9" s="260"/>
      <c r="L9" s="260"/>
      <c r="M9" s="261"/>
      <c r="P9" s="3" t="s">
        <v>19</v>
      </c>
    </row>
    <row r="10" spans="2:27" ht="16.5" customHeight="1" x14ac:dyDescent="0.25">
      <c r="B10" s="259"/>
      <c r="C10" s="260"/>
      <c r="D10" s="260"/>
      <c r="E10" s="260"/>
      <c r="F10" s="260"/>
      <c r="G10" s="260"/>
      <c r="H10" s="260"/>
      <c r="I10" s="260"/>
      <c r="J10" s="260"/>
      <c r="K10" s="260"/>
      <c r="L10" s="260"/>
      <c r="M10" s="261"/>
      <c r="P10" s="3" t="s">
        <v>20</v>
      </c>
    </row>
    <row r="11" spans="2:27" ht="16.5" customHeight="1" x14ac:dyDescent="0.25">
      <c r="B11" s="259"/>
      <c r="C11" s="260"/>
      <c r="D11" s="260"/>
      <c r="E11" s="260"/>
      <c r="F11" s="260"/>
      <c r="G11" s="260"/>
      <c r="H11" s="260"/>
      <c r="I11" s="260"/>
      <c r="J11" s="260"/>
      <c r="K11" s="260"/>
      <c r="L11" s="260"/>
      <c r="M11" s="261"/>
      <c r="P11" s="2"/>
    </row>
    <row r="12" spans="2:27" ht="16.5" customHeight="1" x14ac:dyDescent="0.25">
      <c r="B12" s="259"/>
      <c r="C12" s="260"/>
      <c r="D12" s="260"/>
      <c r="E12" s="260"/>
      <c r="F12" s="260"/>
      <c r="G12" s="260"/>
      <c r="H12" s="260"/>
      <c r="I12" s="260"/>
      <c r="J12" s="260"/>
      <c r="K12" s="260"/>
      <c r="L12" s="260"/>
      <c r="M12" s="261"/>
      <c r="P12" s="5" t="s">
        <v>10</v>
      </c>
      <c r="Q12" s="5" t="s">
        <v>11</v>
      </c>
      <c r="R12" s="5" t="s">
        <v>12</v>
      </c>
    </row>
    <row r="13" spans="2:27" ht="16.5" customHeight="1" thickBot="1" x14ac:dyDescent="0.3">
      <c r="B13" s="262"/>
      <c r="C13" s="263"/>
      <c r="D13" s="263"/>
      <c r="E13" s="263"/>
      <c r="F13" s="263"/>
      <c r="G13" s="263"/>
      <c r="H13" s="263"/>
      <c r="I13" s="263"/>
      <c r="J13" s="263"/>
      <c r="K13" s="263"/>
      <c r="L13" s="263"/>
      <c r="M13" s="264"/>
      <c r="P13" s="8">
        <v>33.1</v>
      </c>
      <c r="Q13" s="7">
        <v>1170.5999999999999</v>
      </c>
      <c r="R13" s="7">
        <v>97.8</v>
      </c>
    </row>
    <row r="14" spans="2:27" ht="16.5" customHeight="1" x14ac:dyDescent="0.25">
      <c r="P14" s="8">
        <v>80</v>
      </c>
      <c r="Q14" s="7">
        <v>1588</v>
      </c>
      <c r="R14" s="7">
        <v>287.8</v>
      </c>
    </row>
    <row r="15" spans="2:27" ht="16.5" customHeight="1" x14ac:dyDescent="0.25">
      <c r="P15" s="8">
        <v>67</v>
      </c>
      <c r="Q15" s="7">
        <v>1687.2</v>
      </c>
      <c r="R15" s="7">
        <v>321.3</v>
      </c>
    </row>
    <row r="16" spans="2:27" ht="16.5" customHeight="1" x14ac:dyDescent="0.25">
      <c r="P16" s="8">
        <v>82</v>
      </c>
      <c r="Q16" s="7">
        <v>1749.4</v>
      </c>
      <c r="R16" s="7">
        <v>319.89999999999998</v>
      </c>
    </row>
    <row r="17" spans="2:18" ht="16.5" customHeight="1" x14ac:dyDescent="0.25">
      <c r="P17" s="8">
        <v>72</v>
      </c>
      <c r="Q17" s="7">
        <v>1834.1</v>
      </c>
      <c r="R17" s="7">
        <v>220.9</v>
      </c>
    </row>
    <row r="18" spans="2:18" ht="16.5" customHeight="1" x14ac:dyDescent="0.25">
      <c r="P18" s="8">
        <v>45</v>
      </c>
      <c r="Q18" s="7">
        <v>2015.8</v>
      </c>
      <c r="R18" s="7">
        <v>104.4</v>
      </c>
    </row>
    <row r="19" spans="2:18" ht="16.5" customHeight="1" x14ac:dyDescent="0.25">
      <c r="P19" s="8">
        <v>44.6</v>
      </c>
      <c r="Q19" s="7">
        <v>2039.7</v>
      </c>
      <c r="R19" s="7">
        <v>156.19999999999999</v>
      </c>
    </row>
    <row r="20" spans="2:18" ht="16.5" customHeight="1" x14ac:dyDescent="0.25">
      <c r="P20" s="8">
        <v>98</v>
      </c>
      <c r="Q20" s="7">
        <v>2132.1999999999998</v>
      </c>
      <c r="R20" s="7">
        <v>186.6</v>
      </c>
    </row>
    <row r="25" spans="2:18" ht="16.5" customHeight="1" x14ac:dyDescent="0.25">
      <c r="B25" s="2"/>
    </row>
  </sheetData>
  <sheetProtection selectLockedCells="1"/>
  <mergeCells count="7">
    <mergeCell ref="B6:M13"/>
    <mergeCell ref="B2:C2"/>
    <mergeCell ref="D2:M4"/>
    <mergeCell ref="P2:AA3"/>
    <mergeCell ref="B3:C3"/>
    <mergeCell ref="B4:C5"/>
    <mergeCell ref="D5:M5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91"/>
  <sheetViews>
    <sheetView topLeftCell="H16" zoomScale="120" zoomScaleNormal="120" workbookViewId="0">
      <selection activeCell="O26" sqref="O26:R28"/>
    </sheetView>
  </sheetViews>
  <sheetFormatPr defaultRowHeight="15" x14ac:dyDescent="0.25"/>
  <cols>
    <col min="1" max="1" width="14.5703125" style="18" customWidth="1"/>
    <col min="2" max="2" width="9.28515625" style="18" bestFit="1" customWidth="1"/>
    <col min="3" max="3" width="10.140625" style="18" bestFit="1" customWidth="1"/>
    <col min="4" max="4" width="11.28515625" style="18" bestFit="1" customWidth="1"/>
    <col min="5" max="5" width="11.140625" style="18" customWidth="1"/>
    <col min="6" max="6" width="14.5703125" style="18" customWidth="1"/>
    <col min="7" max="7" width="14.5703125" style="18" bestFit="1" customWidth="1"/>
    <col min="8" max="8" width="10.140625" style="18" bestFit="1" customWidth="1"/>
    <col min="9" max="9" width="9.28515625" style="18" bestFit="1" customWidth="1"/>
    <col min="10" max="10" width="14.42578125" style="18" bestFit="1" customWidth="1"/>
    <col min="11" max="11" width="13.28515625" style="18" bestFit="1" customWidth="1"/>
    <col min="12" max="12" width="14.42578125" style="18" bestFit="1" customWidth="1"/>
    <col min="13" max="13" width="13.7109375" style="18" bestFit="1" customWidth="1"/>
    <col min="14" max="14" width="10.28515625" style="18" customWidth="1"/>
    <col min="15" max="16" width="9.28515625" style="18" bestFit="1" customWidth="1"/>
    <col min="17" max="17" width="9.140625" style="18"/>
    <col min="18" max="18" width="25.140625" style="18" bestFit="1" customWidth="1"/>
    <col min="19" max="19" width="14.42578125" style="18" bestFit="1" customWidth="1"/>
    <col min="20" max="20" width="13.7109375" style="18" bestFit="1" customWidth="1"/>
    <col min="21" max="21" width="15" style="18" bestFit="1" customWidth="1"/>
    <col min="22" max="22" width="25.140625" style="18" bestFit="1" customWidth="1"/>
    <col min="23" max="23" width="14.42578125" style="18" bestFit="1" customWidth="1"/>
    <col min="24" max="24" width="13.7109375" style="18" bestFit="1" customWidth="1"/>
    <col min="25" max="25" width="14.42578125" style="18" bestFit="1" customWidth="1"/>
    <col min="26" max="26" width="13.7109375" style="18" bestFit="1" customWidth="1"/>
    <col min="27" max="27" width="15.85546875" style="18" bestFit="1" customWidth="1"/>
    <col min="28" max="28" width="15" style="18" bestFit="1" customWidth="1"/>
    <col min="29" max="29" width="14.42578125" style="18" bestFit="1" customWidth="1"/>
    <col min="30" max="30" width="15" style="18" bestFit="1" customWidth="1"/>
    <col min="31" max="16384" width="9.140625" style="18"/>
  </cols>
  <sheetData>
    <row r="1" spans="1:27" ht="18.75" x14ac:dyDescent="0.25">
      <c r="A1" s="42" t="s">
        <v>6</v>
      </c>
      <c r="B1" s="42"/>
      <c r="C1" s="42" t="s">
        <v>72</v>
      </c>
      <c r="D1" s="42" t="s">
        <v>73</v>
      </c>
      <c r="F1" s="19">
        <v>1</v>
      </c>
      <c r="G1" s="19">
        <v>1</v>
      </c>
      <c r="H1" s="19">
        <v>1</v>
      </c>
      <c r="I1" s="19">
        <v>1</v>
      </c>
      <c r="J1" s="19">
        <v>1</v>
      </c>
      <c r="K1" s="19">
        <v>1</v>
      </c>
      <c r="L1" s="19">
        <v>1</v>
      </c>
      <c r="M1" s="19">
        <v>1</v>
      </c>
      <c r="N1" s="19">
        <v>1</v>
      </c>
      <c r="O1" s="19">
        <v>1</v>
      </c>
    </row>
    <row r="2" spans="1:27" ht="15.75" x14ac:dyDescent="0.25">
      <c r="A2" s="43">
        <v>2073</v>
      </c>
      <c r="B2" s="43">
        <v>1</v>
      </c>
      <c r="C2" s="44">
        <v>0.85</v>
      </c>
      <c r="D2" s="44">
        <v>0.88</v>
      </c>
      <c r="F2" s="19">
        <v>0.85</v>
      </c>
      <c r="G2" s="19">
        <v>0.75</v>
      </c>
      <c r="H2" s="19">
        <v>0.6</v>
      </c>
      <c r="I2" s="19">
        <v>1</v>
      </c>
      <c r="J2" s="19">
        <v>0.5</v>
      </c>
      <c r="K2" s="19">
        <v>0.85</v>
      </c>
      <c r="L2" s="19">
        <v>1</v>
      </c>
      <c r="M2" s="19">
        <v>0.75</v>
      </c>
      <c r="N2" s="19">
        <v>1.5</v>
      </c>
      <c r="O2" s="19">
        <v>1.5</v>
      </c>
      <c r="V2" s="18" t="s">
        <v>38</v>
      </c>
    </row>
    <row r="3" spans="1:27" ht="16.5" thickBot="1" x14ac:dyDescent="0.3">
      <c r="A3" s="43">
        <v>2136</v>
      </c>
      <c r="B3" s="43">
        <v>1</v>
      </c>
      <c r="C3" s="44">
        <v>0.75</v>
      </c>
      <c r="D3" s="44">
        <v>1.03</v>
      </c>
      <c r="F3" s="19">
        <v>0.88</v>
      </c>
      <c r="G3" s="19">
        <v>1.03</v>
      </c>
      <c r="H3" s="19">
        <v>0.91</v>
      </c>
      <c r="I3" s="19">
        <v>0.91</v>
      </c>
      <c r="J3" s="19">
        <v>0.97</v>
      </c>
      <c r="K3" s="19">
        <v>0.88</v>
      </c>
      <c r="L3" s="19">
        <v>0.91</v>
      </c>
      <c r="M3" s="19">
        <v>0.89</v>
      </c>
      <c r="N3" s="19">
        <v>0.89</v>
      </c>
      <c r="O3" s="19">
        <v>0.89</v>
      </c>
    </row>
    <row r="4" spans="1:27" ht="15.75" x14ac:dyDescent="0.25">
      <c r="A4" s="43">
        <v>1879</v>
      </c>
      <c r="B4" s="43">
        <v>1</v>
      </c>
      <c r="C4" s="44">
        <v>0.6</v>
      </c>
      <c r="D4" s="44">
        <v>0.91</v>
      </c>
      <c r="V4" s="29" t="s">
        <v>39</v>
      </c>
      <c r="W4" s="29"/>
    </row>
    <row r="5" spans="1:27" ht="15.75" x14ac:dyDescent="0.25">
      <c r="A5" s="43">
        <v>938</v>
      </c>
      <c r="B5" s="43">
        <v>1</v>
      </c>
      <c r="C5" s="44">
        <v>1</v>
      </c>
      <c r="D5" s="44">
        <v>0.91</v>
      </c>
      <c r="F5" s="19">
        <f t="array" ref="F5:H7">MMULT(F1:O3,B2:D11)</f>
        <v>10</v>
      </c>
      <c r="G5" s="19">
        <v>9.3000000000000007</v>
      </c>
      <c r="H5" s="19">
        <v>9.16</v>
      </c>
      <c r="J5" s="19">
        <f t="array" ref="J5:L7">MINVERSE(F5:H7)</f>
        <v>56.696602636798801</v>
      </c>
      <c r="K5" s="19">
        <v>-4.3414315659258813</v>
      </c>
      <c r="L5" s="19">
        <v>-57.378898777825022</v>
      </c>
      <c r="N5" s="19">
        <f t="array" ref="N5:P7">MMULT(F1:O3,A2:A11)</f>
        <v>18940</v>
      </c>
      <c r="O5" s="19">
        <v>18940</v>
      </c>
      <c r="P5" s="19">
        <v>18940</v>
      </c>
      <c r="V5" s="30" t="s">
        <v>40</v>
      </c>
      <c r="W5" s="30">
        <v>0.65831615982136638</v>
      </c>
    </row>
    <row r="6" spans="1:27" ht="15.75" x14ac:dyDescent="0.25">
      <c r="A6" s="43">
        <v>7343</v>
      </c>
      <c r="B6" s="43">
        <v>1</v>
      </c>
      <c r="C6" s="44">
        <v>0.5</v>
      </c>
      <c r="D6" s="44">
        <v>0.97</v>
      </c>
      <c r="F6" s="19">
        <v>9.3000000000000007</v>
      </c>
      <c r="G6" s="19">
        <v>9.68</v>
      </c>
      <c r="H6" s="19">
        <v>8.4570000000000007</v>
      </c>
      <c r="J6" s="19">
        <v>-4.3414315659258813</v>
      </c>
      <c r="K6" s="19">
        <v>1.1820899625442625</v>
      </c>
      <c r="L6" s="19">
        <v>3.5393972715717434</v>
      </c>
      <c r="N6" s="19">
        <v>14034.5</v>
      </c>
      <c r="O6" s="19">
        <v>14034.5</v>
      </c>
      <c r="P6" s="19">
        <v>14034.5</v>
      </c>
      <c r="V6" s="30" t="s">
        <v>41</v>
      </c>
      <c r="W6" s="45">
        <v>0.43338016628195075</v>
      </c>
    </row>
    <row r="7" spans="1:27" ht="15.75" x14ac:dyDescent="0.25">
      <c r="A7" s="43">
        <v>838</v>
      </c>
      <c r="B7" s="43">
        <v>1</v>
      </c>
      <c r="C7" s="44">
        <v>0.85</v>
      </c>
      <c r="D7" s="44">
        <v>0.88</v>
      </c>
      <c r="F7" s="19">
        <v>9.16</v>
      </c>
      <c r="G7" s="19">
        <v>8.4570000000000007</v>
      </c>
      <c r="H7" s="19">
        <v>8.4111999999999991</v>
      </c>
      <c r="J7" s="19">
        <v>-57.378898777825029</v>
      </c>
      <c r="K7" s="19">
        <v>3.5393972715717439</v>
      </c>
      <c r="L7" s="19">
        <v>59.047226326706664</v>
      </c>
      <c r="N7" s="19">
        <v>17803.27</v>
      </c>
      <c r="O7" s="19">
        <v>17803.27</v>
      </c>
      <c r="P7" s="19">
        <v>17803.27</v>
      </c>
      <c r="V7" s="30" t="s">
        <v>42</v>
      </c>
      <c r="W7" s="45">
        <v>0.27148878521965092</v>
      </c>
    </row>
    <row r="8" spans="1:27" ht="16.5" thickBot="1" x14ac:dyDescent="0.3">
      <c r="A8" s="43">
        <v>1648</v>
      </c>
      <c r="B8" s="43">
        <v>1</v>
      </c>
      <c r="C8" s="44">
        <v>1</v>
      </c>
      <c r="D8" s="44">
        <v>0.91</v>
      </c>
      <c r="V8" s="30" t="s">
        <v>43</v>
      </c>
      <c r="W8" s="45">
        <v>1718.9778102546406</v>
      </c>
    </row>
    <row r="9" spans="1:27" ht="16.5" thickBot="1" x14ac:dyDescent="0.3">
      <c r="A9" s="43">
        <v>739</v>
      </c>
      <c r="B9" s="43">
        <v>1</v>
      </c>
      <c r="C9" s="44">
        <v>0.75</v>
      </c>
      <c r="D9" s="44">
        <v>0.89</v>
      </c>
      <c r="F9" s="20" t="s">
        <v>37</v>
      </c>
      <c r="G9" s="21">
        <f t="array" ref="G9:G11">MMULT(J5:L7,N5:P7)</f>
        <v>-8628.1946153063327</v>
      </c>
      <c r="I9" s="22" t="s">
        <v>64</v>
      </c>
      <c r="J9" s="23" t="s">
        <v>65</v>
      </c>
      <c r="L9" s="22" t="s">
        <v>74</v>
      </c>
      <c r="M9" s="23" t="s">
        <v>75</v>
      </c>
      <c r="V9" s="31" t="s">
        <v>44</v>
      </c>
      <c r="W9" s="46">
        <v>10</v>
      </c>
    </row>
    <row r="10" spans="1:27" ht="15.75" x14ac:dyDescent="0.25">
      <c r="A10" s="43">
        <v>1071</v>
      </c>
      <c r="B10" s="43">
        <v>1</v>
      </c>
      <c r="C10" s="44">
        <v>1.5</v>
      </c>
      <c r="D10" s="44">
        <v>0.89</v>
      </c>
      <c r="F10" s="24" t="s">
        <v>76</v>
      </c>
      <c r="G10" s="25">
        <v>-2623.8270162536792</v>
      </c>
      <c r="I10" s="26">
        <f>COUNT(A2:A11)</f>
        <v>10</v>
      </c>
      <c r="J10" s="19">
        <f>AVERAGE(A2:A11)</f>
        <v>1894</v>
      </c>
      <c r="L10" s="19">
        <f t="array" ref="L10">MMULT(TRANSPOSE(A2:A11),A2:A11)</f>
        <v>72376894</v>
      </c>
      <c r="M10" s="19">
        <f t="array" ref="M10">MMULT(TRANSPOSE(G9:G11),MMULT(F1:O3,A2:A11))</f>
        <v>51692701.014969379</v>
      </c>
    </row>
    <row r="11" spans="1:27" ht="16.5" thickBot="1" x14ac:dyDescent="0.3">
      <c r="A11" s="43">
        <v>275</v>
      </c>
      <c r="B11" s="43">
        <v>1</v>
      </c>
      <c r="C11" s="44">
        <v>1.5</v>
      </c>
      <c r="D11" s="44">
        <v>0.89</v>
      </c>
      <c r="F11" s="27" t="s">
        <v>77</v>
      </c>
      <c r="G11" s="28">
        <v>14151.041201334563</v>
      </c>
      <c r="V11" s="18" t="s">
        <v>45</v>
      </c>
    </row>
    <row r="12" spans="1:27" ht="15.75" thickBot="1" x14ac:dyDescent="0.3">
      <c r="V12" s="32"/>
      <c r="W12" s="32" t="s">
        <v>50</v>
      </c>
      <c r="X12" s="32" t="s">
        <v>51</v>
      </c>
      <c r="Y12" s="32" t="s">
        <v>52</v>
      </c>
      <c r="Z12" s="32" t="s">
        <v>53</v>
      </c>
      <c r="AA12" s="32" t="s">
        <v>54</v>
      </c>
    </row>
    <row r="13" spans="1:27" x14ac:dyDescent="0.25">
      <c r="F13" s="20" t="s">
        <v>78</v>
      </c>
      <c r="G13" s="21">
        <f>L10-I10*J10^2</f>
        <v>36504534</v>
      </c>
      <c r="J13" s="352" t="s">
        <v>66</v>
      </c>
      <c r="K13" s="353"/>
      <c r="L13" s="353"/>
      <c r="M13" s="353"/>
      <c r="N13" s="353"/>
      <c r="O13" s="34"/>
      <c r="V13" s="30" t="s">
        <v>46</v>
      </c>
      <c r="W13" s="45">
        <v>2</v>
      </c>
      <c r="X13" s="45">
        <v>15820341.014965124</v>
      </c>
      <c r="Y13" s="45">
        <v>7910170.5074825622</v>
      </c>
      <c r="Z13" s="45">
        <v>2.676981093361452</v>
      </c>
      <c r="AA13" s="45">
        <v>0.13693712420595627</v>
      </c>
    </row>
    <row r="14" spans="1:27" x14ac:dyDescent="0.25">
      <c r="A14" s="60" t="s">
        <v>93</v>
      </c>
      <c r="F14" s="24" t="s">
        <v>79</v>
      </c>
      <c r="G14" s="25">
        <f>M10-I10*J10^2</f>
        <v>15820341.014969379</v>
      </c>
      <c r="J14" s="24" t="s">
        <v>67</v>
      </c>
      <c r="K14" s="22" t="s">
        <v>68</v>
      </c>
      <c r="L14" s="22" t="s">
        <v>51</v>
      </c>
      <c r="M14" s="22" t="s">
        <v>69</v>
      </c>
      <c r="N14" s="22" t="s">
        <v>70</v>
      </c>
      <c r="O14" s="35" t="s">
        <v>91</v>
      </c>
      <c r="Q14" s="356" t="s">
        <v>84</v>
      </c>
      <c r="R14" s="356"/>
      <c r="S14" s="356"/>
      <c r="V14" s="30" t="s">
        <v>47</v>
      </c>
      <c r="W14" s="45">
        <v>7</v>
      </c>
      <c r="X14" s="45">
        <v>20684192.985034876</v>
      </c>
      <c r="Y14" s="45">
        <v>2954884.7121478394</v>
      </c>
      <c r="Z14" s="45"/>
      <c r="AA14" s="45"/>
    </row>
    <row r="15" spans="1:27" ht="15.75" customHeight="1" thickBot="1" x14ac:dyDescent="0.3">
      <c r="A15" s="18" t="s">
        <v>94</v>
      </c>
      <c r="F15" s="24" t="s">
        <v>80</v>
      </c>
      <c r="G15" s="25">
        <f>L10-M10</f>
        <v>20684192.985030621</v>
      </c>
      <c r="J15" s="16" t="s">
        <v>46</v>
      </c>
      <c r="K15" s="36">
        <v>2</v>
      </c>
      <c r="L15" s="36">
        <f>G14</f>
        <v>15820341.014969379</v>
      </c>
      <c r="M15" s="36">
        <f>L15/K15</f>
        <v>7910170.5074846894</v>
      </c>
      <c r="N15" s="36">
        <f>M15/M16</f>
        <v>2.6769810933627225</v>
      </c>
      <c r="O15" s="37">
        <f>_xlfn.F.INV(5%,K15,K16)</f>
        <v>5.1670994662000869E-2</v>
      </c>
      <c r="P15"/>
      <c r="Q15" s="356"/>
      <c r="R15" s="356"/>
      <c r="S15" s="356"/>
      <c r="V15" s="31" t="s">
        <v>48</v>
      </c>
      <c r="W15" s="46">
        <v>9</v>
      </c>
      <c r="X15" s="46">
        <v>36504534</v>
      </c>
      <c r="Y15" s="46"/>
      <c r="Z15" s="46"/>
      <c r="AA15" s="46"/>
    </row>
    <row r="16" spans="1:27" ht="15.75" customHeight="1" thickBot="1" x14ac:dyDescent="0.3">
      <c r="A16" s="18" t="s">
        <v>95</v>
      </c>
      <c r="F16" s="24" t="s">
        <v>81</v>
      </c>
      <c r="G16" s="25" t="b">
        <f>G14+G15=G13</f>
        <v>1</v>
      </c>
      <c r="J16" s="16" t="s">
        <v>71</v>
      </c>
      <c r="K16" s="36">
        <f>I10-(K15+1)</f>
        <v>7</v>
      </c>
      <c r="L16" s="36">
        <f>G15</f>
        <v>20684192.985030621</v>
      </c>
      <c r="M16" s="36">
        <f>L16/K16</f>
        <v>2954884.7121472317</v>
      </c>
      <c r="N16" s="36"/>
      <c r="O16" s="59"/>
      <c r="Q16" s="356"/>
      <c r="R16" s="356"/>
      <c r="S16" s="356"/>
    </row>
    <row r="17" spans="1:30" ht="15.75" thickBot="1" x14ac:dyDescent="0.3">
      <c r="A17" s="18" t="s">
        <v>96</v>
      </c>
      <c r="F17" s="24" t="s">
        <v>82</v>
      </c>
      <c r="G17" s="40">
        <f>G14/G13</f>
        <v>0.43338016628206727</v>
      </c>
      <c r="J17" s="17" t="s">
        <v>48</v>
      </c>
      <c r="K17" s="38">
        <f>I10-1</f>
        <v>9</v>
      </c>
      <c r="L17" s="38">
        <f>G13</f>
        <v>36504534</v>
      </c>
      <c r="M17" s="38">
        <f>L17/K17</f>
        <v>4056059.3333333335</v>
      </c>
      <c r="N17" s="38"/>
      <c r="O17" s="39"/>
      <c r="V17" s="32"/>
      <c r="W17" s="32" t="s">
        <v>55</v>
      </c>
      <c r="X17" s="32" t="s">
        <v>43</v>
      </c>
      <c r="Y17" s="32" t="s">
        <v>56</v>
      </c>
      <c r="Z17" s="32" t="s">
        <v>57</v>
      </c>
      <c r="AA17" s="32" t="s">
        <v>58</v>
      </c>
      <c r="AB17" s="32" t="s">
        <v>59</v>
      </c>
      <c r="AC17" s="32" t="s">
        <v>60</v>
      </c>
      <c r="AD17" s="32" t="s">
        <v>61</v>
      </c>
    </row>
    <row r="18" spans="1:30" ht="15.75" thickBot="1" x14ac:dyDescent="0.3">
      <c r="F18" s="27" t="s">
        <v>83</v>
      </c>
      <c r="G18" s="41">
        <f>1-(M16/M17)</f>
        <v>0.2714887852198008</v>
      </c>
      <c r="V18" s="30" t="s">
        <v>49</v>
      </c>
      <c r="W18" s="45">
        <v>-8628.1946153053068</v>
      </c>
      <c r="X18" s="45">
        <v>12943.412392494591</v>
      </c>
      <c r="Y18" s="45">
        <v>-0.66660895547981458</v>
      </c>
      <c r="Z18" s="45">
        <v>0.52637542113479152</v>
      </c>
      <c r="AA18" s="45">
        <v>-39234.501456964601</v>
      </c>
      <c r="AB18" s="45">
        <v>21978.112226353991</v>
      </c>
      <c r="AC18" s="45">
        <v>-39234.501456964601</v>
      </c>
      <c r="AD18" s="45">
        <v>21978.112226353991</v>
      </c>
    </row>
    <row r="19" spans="1:30" ht="15.75" thickBot="1" x14ac:dyDescent="0.3">
      <c r="J19" s="357" t="s">
        <v>86</v>
      </c>
      <c r="K19" s="358"/>
      <c r="L19" s="359"/>
      <c r="V19" s="30" t="s">
        <v>62</v>
      </c>
      <c r="W19" s="45">
        <v>-2623.8270162537387</v>
      </c>
      <c r="X19" s="45">
        <v>1868.9407584793569</v>
      </c>
      <c r="Y19" s="45">
        <v>-1.403911282018691</v>
      </c>
      <c r="Z19" s="45">
        <v>0.20312185752033557</v>
      </c>
      <c r="AA19" s="45">
        <v>-7043.1696585442405</v>
      </c>
      <c r="AB19" s="45">
        <v>1795.5156260367626</v>
      </c>
      <c r="AC19" s="45">
        <v>-7043.1696585442405</v>
      </c>
      <c r="AD19" s="45">
        <v>1795.5156260367626</v>
      </c>
    </row>
    <row r="20" spans="1:30" ht="15.75" thickBot="1" x14ac:dyDescent="0.3">
      <c r="F20" s="47" t="s">
        <v>85</v>
      </c>
      <c r="G20" s="48">
        <f>(G13-G14)/K16</f>
        <v>2954884.7121472317</v>
      </c>
      <c r="J20" s="53">
        <f t="array" ref="J20:L22">J5:L7*G20</f>
        <v>167531924.36216319</v>
      </c>
      <c r="K20" s="36">
        <v>-12828429.762987804</v>
      </c>
      <c r="L20" s="37">
        <v>-169548030.79843864</v>
      </c>
      <c r="V20" s="31" t="s">
        <v>63</v>
      </c>
      <c r="W20" s="46">
        <v>14151.041201333279</v>
      </c>
      <c r="X20" s="46">
        <v>13209.002474354487</v>
      </c>
      <c r="Y20" s="46">
        <v>1.0713179309949996</v>
      </c>
      <c r="Z20" s="46">
        <v>0.31956745988201779</v>
      </c>
      <c r="AA20" s="46">
        <v>-17083.286388874443</v>
      </c>
      <c r="AB20" s="46">
        <v>45385.368791540997</v>
      </c>
      <c r="AC20" s="46">
        <v>-17083.286388874443</v>
      </c>
      <c r="AD20" s="46">
        <v>45385.368791540997</v>
      </c>
    </row>
    <row r="21" spans="1:30" x14ac:dyDescent="0.25">
      <c r="J21" s="51">
        <v>-12828429.762987804</v>
      </c>
      <c r="K21" s="54">
        <v>3492939.5587047348</v>
      </c>
      <c r="L21" s="37">
        <v>10458510.887982968</v>
      </c>
    </row>
    <row r="22" spans="1:30" ht="15.75" thickBot="1" x14ac:dyDescent="0.3">
      <c r="J22" s="52">
        <v>-169548030.79843867</v>
      </c>
      <c r="K22" s="38">
        <v>10458510.88798297</v>
      </c>
      <c r="L22" s="55">
        <v>174477746.36748305</v>
      </c>
    </row>
    <row r="23" spans="1:30" ht="15.75" thickBot="1" x14ac:dyDescent="0.3"/>
    <row r="24" spans="1:30" x14ac:dyDescent="0.25">
      <c r="J24" s="20"/>
      <c r="K24" s="49" t="s">
        <v>37</v>
      </c>
      <c r="L24" s="49" t="s">
        <v>87</v>
      </c>
      <c r="M24" s="56" t="s">
        <v>88</v>
      </c>
    </row>
    <row r="25" spans="1:30" x14ac:dyDescent="0.25">
      <c r="J25" s="24"/>
      <c r="K25" s="19">
        <v>-8628.1946153063327</v>
      </c>
      <c r="L25" s="19">
        <v>-2623.8270162536792</v>
      </c>
      <c r="M25" s="25">
        <v>14151.041201334563</v>
      </c>
    </row>
    <row r="26" spans="1:30" ht="15" customHeight="1" x14ac:dyDescent="0.25">
      <c r="J26" s="24" t="s">
        <v>89</v>
      </c>
      <c r="K26" s="57">
        <f>K25/SQRT(J20)</f>
        <v>-0.66660895547993237</v>
      </c>
      <c r="L26" s="57">
        <f>L25/SQRT(K21)</f>
        <v>-1.4039112820187916</v>
      </c>
      <c r="M26" s="58">
        <f>M25/SQRT(L22)</f>
        <v>1.0713179309951579</v>
      </c>
      <c r="O26" s="356" t="s">
        <v>92</v>
      </c>
      <c r="P26" s="356"/>
      <c r="Q26" s="356"/>
      <c r="R26" s="356"/>
    </row>
    <row r="27" spans="1:30" ht="15.75" customHeight="1" thickBot="1" x14ac:dyDescent="0.3">
      <c r="J27" s="27" t="s">
        <v>90</v>
      </c>
      <c r="K27" s="354">
        <f>_xlfn.T.INV(5%,K16)</f>
        <v>-1.8945786050900073</v>
      </c>
      <c r="L27" s="354"/>
      <c r="M27" s="355"/>
      <c r="O27" s="356"/>
      <c r="P27" s="356"/>
      <c r="Q27" s="356"/>
      <c r="R27" s="356"/>
    </row>
    <row r="28" spans="1:30" x14ac:dyDescent="0.25">
      <c r="O28" s="356"/>
      <c r="P28" s="356"/>
      <c r="Q28" s="356"/>
      <c r="R28" s="356"/>
    </row>
    <row r="29" spans="1:30" s="61" customFormat="1" x14ac:dyDescent="0.25"/>
    <row r="30" spans="1:30" ht="15.75" x14ac:dyDescent="0.25">
      <c r="A30" s="42" t="s">
        <v>97</v>
      </c>
      <c r="B30" s="42"/>
      <c r="C30" s="42" t="s">
        <v>63</v>
      </c>
      <c r="E30" s="19">
        <v>1</v>
      </c>
      <c r="F30" s="19">
        <v>1</v>
      </c>
      <c r="G30" s="19">
        <v>1</v>
      </c>
      <c r="H30" s="19">
        <v>1</v>
      </c>
      <c r="I30" s="19">
        <v>1</v>
      </c>
      <c r="J30" s="19">
        <v>1</v>
      </c>
      <c r="K30" s="19">
        <v>1</v>
      </c>
      <c r="L30" s="19">
        <v>1</v>
      </c>
      <c r="M30" s="19">
        <v>1</v>
      </c>
      <c r="N30" s="19">
        <v>1</v>
      </c>
      <c r="O30" s="64"/>
      <c r="P30" s="65"/>
      <c r="Q30" s="65"/>
      <c r="V30" t="s">
        <v>38</v>
      </c>
      <c r="W30"/>
      <c r="X30"/>
      <c r="Y30"/>
      <c r="Z30"/>
      <c r="AA30"/>
      <c r="AB30"/>
      <c r="AC30"/>
      <c r="AD30"/>
    </row>
    <row r="31" spans="1:30" ht="16.5" thickBot="1" x14ac:dyDescent="0.3">
      <c r="A31" s="44">
        <v>0.85</v>
      </c>
      <c r="B31" s="43">
        <v>1</v>
      </c>
      <c r="C31" s="44">
        <v>0.88</v>
      </c>
      <c r="E31" s="19">
        <v>0.88</v>
      </c>
      <c r="F31" s="19">
        <v>1.03</v>
      </c>
      <c r="G31" s="19">
        <v>0.91</v>
      </c>
      <c r="H31" s="19">
        <v>0.91</v>
      </c>
      <c r="I31" s="19">
        <v>0.97</v>
      </c>
      <c r="J31" s="19">
        <v>0.88</v>
      </c>
      <c r="K31" s="19">
        <v>0.91</v>
      </c>
      <c r="L31" s="19">
        <v>0.89</v>
      </c>
      <c r="M31" s="19">
        <v>0.89</v>
      </c>
      <c r="N31" s="19">
        <v>0.89</v>
      </c>
      <c r="O31" s="64"/>
      <c r="P31" s="65"/>
      <c r="Q31" s="65"/>
      <c r="V31"/>
      <c r="W31"/>
      <c r="X31"/>
      <c r="Y31"/>
      <c r="Z31"/>
      <c r="AA31"/>
      <c r="AB31"/>
      <c r="AC31"/>
      <c r="AD31"/>
    </row>
    <row r="32" spans="1:30" ht="15.75" x14ac:dyDescent="0.25">
      <c r="A32" s="44">
        <v>0.75</v>
      </c>
      <c r="B32" s="43">
        <v>1</v>
      </c>
      <c r="C32" s="44">
        <v>1.03</v>
      </c>
      <c r="E32" s="65"/>
      <c r="F32" s="64"/>
      <c r="G32" s="64"/>
      <c r="H32" s="64"/>
      <c r="I32" s="64"/>
      <c r="J32" s="64"/>
      <c r="K32" s="64"/>
      <c r="L32" s="64"/>
      <c r="M32" s="64"/>
      <c r="N32" s="64"/>
      <c r="O32" s="64"/>
      <c r="P32" s="65"/>
      <c r="Q32" s="65"/>
      <c r="V32" s="15" t="s">
        <v>39</v>
      </c>
      <c r="W32" s="15"/>
      <c r="X32"/>
      <c r="Y32"/>
      <c r="Z32"/>
      <c r="AA32"/>
      <c r="AB32"/>
      <c r="AC32"/>
      <c r="AD32"/>
    </row>
    <row r="33" spans="1:30" ht="15.75" x14ac:dyDescent="0.25">
      <c r="A33" s="44">
        <v>0.6</v>
      </c>
      <c r="B33" s="43">
        <v>1</v>
      </c>
      <c r="C33" s="44">
        <v>0.91</v>
      </c>
      <c r="E33" s="19">
        <f t="array" ref="E33:F34">MMULT(E30:N31,B31:C40)</f>
        <v>10</v>
      </c>
      <c r="F33" s="19">
        <v>9.16</v>
      </c>
      <c r="G33" s="65"/>
      <c r="H33" s="19">
        <f t="array" ref="H33:I34">MINVERSE(E33:F34)</f>
        <v>40.751937984499207</v>
      </c>
      <c r="I33" s="19">
        <v>-44.379844961243677</v>
      </c>
      <c r="J33" s="65"/>
      <c r="K33" s="19">
        <f t="array" ref="K33:L34">MMULT(E30:N31,A31:A40)</f>
        <v>9.3000000000000007</v>
      </c>
      <c r="L33" s="19">
        <v>9.3000000000000007</v>
      </c>
      <c r="M33" s="65"/>
      <c r="N33" s="65"/>
      <c r="O33" s="65"/>
      <c r="P33" s="65"/>
      <c r="Q33" s="65"/>
      <c r="V33" s="12" t="s">
        <v>40</v>
      </c>
      <c r="W33" s="12">
        <v>0.42364715667669833</v>
      </c>
      <c r="X33"/>
      <c r="Y33"/>
      <c r="Z33"/>
      <c r="AA33"/>
      <c r="AB33"/>
      <c r="AC33"/>
      <c r="AD33"/>
    </row>
    <row r="34" spans="1:30" ht="15.75" x14ac:dyDescent="0.25">
      <c r="A34" s="44">
        <v>1</v>
      </c>
      <c r="B34" s="43">
        <v>1</v>
      </c>
      <c r="C34" s="44">
        <v>0.91</v>
      </c>
      <c r="E34" s="19">
        <v>9.16</v>
      </c>
      <c r="F34" s="19">
        <v>8.4111999999999991</v>
      </c>
      <c r="G34" s="64"/>
      <c r="H34" s="19">
        <v>-44.37984496124367</v>
      </c>
      <c r="I34" s="19">
        <v>48.449612403104446</v>
      </c>
      <c r="J34" s="64"/>
      <c r="K34" s="19">
        <v>8.4570000000000007</v>
      </c>
      <c r="L34" s="19">
        <v>8.4570000000000007</v>
      </c>
      <c r="M34" s="65"/>
      <c r="N34" s="64"/>
      <c r="O34" s="64"/>
      <c r="P34" s="64"/>
      <c r="Q34" s="65"/>
      <c r="V34" s="12" t="s">
        <v>41</v>
      </c>
      <c r="W34" s="12">
        <v>0.17947691336025098</v>
      </c>
      <c r="X34"/>
      <c r="Y34"/>
      <c r="Z34"/>
      <c r="AA34"/>
      <c r="AB34"/>
      <c r="AC34"/>
      <c r="AD34"/>
    </row>
    <row r="35" spans="1:30" ht="16.5" thickBot="1" x14ac:dyDescent="0.3">
      <c r="A35" s="44">
        <v>0.5</v>
      </c>
      <c r="B35" s="43">
        <v>1</v>
      </c>
      <c r="C35" s="44">
        <v>0.97</v>
      </c>
      <c r="E35" s="65"/>
      <c r="F35" s="64"/>
      <c r="G35" s="64"/>
      <c r="H35" s="64"/>
      <c r="I35" s="65"/>
      <c r="J35" s="64"/>
      <c r="K35" s="64"/>
      <c r="L35" s="64"/>
      <c r="M35" s="65"/>
      <c r="N35" s="64"/>
      <c r="O35" s="64"/>
      <c r="P35" s="64"/>
      <c r="Q35" s="65"/>
      <c r="V35" s="12" t="s">
        <v>42</v>
      </c>
      <c r="W35" s="12">
        <v>7.6911527530282353E-2</v>
      </c>
      <c r="X35"/>
      <c r="Y35"/>
      <c r="Z35"/>
      <c r="AA35"/>
      <c r="AB35"/>
      <c r="AC35"/>
      <c r="AD35"/>
    </row>
    <row r="36" spans="1:30" ht="15.75" x14ac:dyDescent="0.25">
      <c r="A36" s="44">
        <v>0.85</v>
      </c>
      <c r="B36" s="43">
        <v>1</v>
      </c>
      <c r="C36" s="44">
        <v>0.88</v>
      </c>
      <c r="E36" s="62" t="s">
        <v>37</v>
      </c>
      <c r="F36" s="21">
        <f t="array" ref="F36:F37">MMULT(H33:I34,K33:L34)</f>
        <v>3.6726744186048563</v>
      </c>
      <c r="G36" s="64"/>
      <c r="H36" s="22" t="s">
        <v>64</v>
      </c>
      <c r="I36" s="23" t="s">
        <v>65</v>
      </c>
      <c r="J36" s="64"/>
      <c r="K36" s="22" t="s">
        <v>74</v>
      </c>
      <c r="L36" s="23" t="s">
        <v>75</v>
      </c>
      <c r="M36" s="65"/>
      <c r="N36" s="64"/>
      <c r="O36" s="64"/>
      <c r="P36" s="64"/>
      <c r="Q36" s="65"/>
      <c r="V36" s="12" t="s">
        <v>43</v>
      </c>
      <c r="W36" s="12">
        <v>0.325184428887205</v>
      </c>
      <c r="X36"/>
      <c r="Y36"/>
      <c r="Z36"/>
      <c r="AA36"/>
      <c r="AB36"/>
      <c r="AC36"/>
      <c r="AD36"/>
    </row>
    <row r="37" spans="1:30" ht="16.5" thickBot="1" x14ac:dyDescent="0.3">
      <c r="A37" s="44">
        <v>1</v>
      </c>
      <c r="B37" s="43">
        <v>1</v>
      </c>
      <c r="C37" s="44">
        <v>0.91</v>
      </c>
      <c r="E37" s="63" t="s">
        <v>87</v>
      </c>
      <c r="F37" s="28">
        <v>-2.9941860465117998</v>
      </c>
      <c r="G37" s="65"/>
      <c r="H37" s="26">
        <f>COUNT(A31:A40)</f>
        <v>10</v>
      </c>
      <c r="I37" s="19">
        <f>AVERAGE(A31:A40)</f>
        <v>0.93</v>
      </c>
      <c r="J37" s="65"/>
      <c r="K37" s="19">
        <f t="array" ref="K37">MMULT(TRANSPOSE(A31:A40),A31:A40)</f>
        <v>9.68</v>
      </c>
      <c r="L37" s="19">
        <f t="array" ref="L37">MMULT(TRANSPOSE(F36:F37),MMULT(E30:N31,A31:A40))</f>
        <v>8.8340406976748724</v>
      </c>
      <c r="M37" s="65"/>
      <c r="N37" s="65"/>
      <c r="O37" s="65"/>
      <c r="P37" s="65"/>
      <c r="Q37" s="65"/>
      <c r="V37" s="13" t="s">
        <v>44</v>
      </c>
      <c r="W37" s="13">
        <v>10</v>
      </c>
      <c r="X37"/>
      <c r="Y37"/>
      <c r="Z37"/>
      <c r="AA37"/>
      <c r="AB37"/>
      <c r="AC37"/>
      <c r="AD37"/>
    </row>
    <row r="38" spans="1:30" ht="16.5" thickBot="1" x14ac:dyDescent="0.3">
      <c r="A38" s="44">
        <v>0.75</v>
      </c>
      <c r="B38" s="43">
        <v>1</v>
      </c>
      <c r="C38" s="44">
        <v>0.89</v>
      </c>
      <c r="E38" s="65"/>
      <c r="F38" s="66"/>
      <c r="G38" s="64"/>
      <c r="H38" s="65"/>
      <c r="I38" s="65"/>
      <c r="J38" s="65"/>
      <c r="K38" s="65"/>
      <c r="L38" s="65"/>
      <c r="M38" s="65"/>
      <c r="N38" s="65"/>
      <c r="O38" s="65"/>
      <c r="P38" s="65"/>
      <c r="Q38" s="65"/>
      <c r="V38"/>
      <c r="W38"/>
      <c r="X38"/>
      <c r="Y38"/>
      <c r="Z38"/>
      <c r="AA38"/>
      <c r="AB38"/>
      <c r="AC38"/>
      <c r="AD38"/>
    </row>
    <row r="39" spans="1:30" ht="16.5" thickBot="1" x14ac:dyDescent="0.3">
      <c r="A39" s="44">
        <v>1.5</v>
      </c>
      <c r="B39" s="43">
        <v>1</v>
      </c>
      <c r="C39" s="44">
        <v>0.89</v>
      </c>
      <c r="E39" s="33" t="s">
        <v>78</v>
      </c>
      <c r="F39" s="21">
        <f>K37-H37*I37^2</f>
        <v>1.0309999999999988</v>
      </c>
      <c r="G39" s="64"/>
      <c r="H39" s="65"/>
      <c r="I39" s="65"/>
      <c r="J39" s="65"/>
      <c r="K39" s="65"/>
      <c r="L39" s="65"/>
      <c r="M39" s="65"/>
      <c r="N39" s="65"/>
      <c r="O39" s="65"/>
      <c r="P39" s="65"/>
      <c r="Q39" s="65"/>
      <c r="V39" t="s">
        <v>45</v>
      </c>
      <c r="W39"/>
      <c r="X39"/>
      <c r="Y39"/>
      <c r="Z39"/>
      <c r="AA39"/>
      <c r="AB39"/>
      <c r="AC39"/>
      <c r="AD39"/>
    </row>
    <row r="40" spans="1:30" ht="15.75" x14ac:dyDescent="0.25">
      <c r="A40" s="44">
        <v>1.5</v>
      </c>
      <c r="B40" s="43">
        <v>1</v>
      </c>
      <c r="C40" s="44">
        <v>0.89</v>
      </c>
      <c r="E40" s="24" t="s">
        <v>79</v>
      </c>
      <c r="F40" s="25">
        <f>L37-H37*I37^2</f>
        <v>0.18504069767487152</v>
      </c>
      <c r="G40" s="64"/>
      <c r="H40" s="65"/>
      <c r="I40" s="65"/>
      <c r="J40" s="65"/>
      <c r="K40" s="65"/>
      <c r="L40" s="65"/>
      <c r="M40" s="65"/>
      <c r="N40" s="65"/>
      <c r="O40" s="65"/>
      <c r="P40" s="65"/>
      <c r="Q40" s="65"/>
      <c r="V40" s="14"/>
      <c r="W40" s="14" t="s">
        <v>50</v>
      </c>
      <c r="X40" s="14" t="s">
        <v>51</v>
      </c>
      <c r="Y40" s="14" t="s">
        <v>52</v>
      </c>
      <c r="Z40" s="14" t="s">
        <v>53</v>
      </c>
      <c r="AA40" s="14" t="s">
        <v>54</v>
      </c>
      <c r="AB40"/>
      <c r="AC40"/>
      <c r="AD40"/>
    </row>
    <row r="41" spans="1:30" x14ac:dyDescent="0.25">
      <c r="E41" s="24" t="s">
        <v>80</v>
      </c>
      <c r="F41" s="25">
        <f>K37-L37</f>
        <v>0.84595930232512728</v>
      </c>
      <c r="G41" s="65"/>
      <c r="H41" s="65"/>
      <c r="I41" s="65"/>
      <c r="J41" s="65"/>
      <c r="K41" s="65"/>
      <c r="L41" s="65"/>
      <c r="M41" s="65"/>
      <c r="N41" s="65"/>
      <c r="O41" s="65"/>
      <c r="P41" s="65"/>
      <c r="Q41" s="65"/>
      <c r="V41" s="12" t="s">
        <v>46</v>
      </c>
      <c r="W41" s="12">
        <v>1</v>
      </c>
      <c r="X41" s="12">
        <v>0.18504069767441877</v>
      </c>
      <c r="Y41" s="12">
        <v>0.18504069767441877</v>
      </c>
      <c r="Z41" s="12">
        <v>1.7498780110649135</v>
      </c>
      <c r="AA41" s="12">
        <v>0.22245249934210398</v>
      </c>
      <c r="AB41"/>
      <c r="AC41"/>
      <c r="AD41"/>
    </row>
    <row r="42" spans="1:30" x14ac:dyDescent="0.25">
      <c r="E42" s="24" t="s">
        <v>81</v>
      </c>
      <c r="F42" s="25" t="b">
        <f>F40+F41=F39</f>
        <v>1</v>
      </c>
      <c r="G42" s="65"/>
      <c r="H42" s="65"/>
      <c r="I42" s="65"/>
      <c r="J42" s="65"/>
      <c r="K42" s="65"/>
      <c r="L42" s="65"/>
      <c r="M42" s="65"/>
      <c r="N42" s="65"/>
      <c r="O42" s="65"/>
      <c r="P42" s="65"/>
      <c r="Q42" s="65"/>
      <c r="V42" s="12" t="s">
        <v>47</v>
      </c>
      <c r="W42" s="12">
        <v>8</v>
      </c>
      <c r="X42" s="12">
        <v>0.84595930232558136</v>
      </c>
      <c r="Y42" s="12">
        <v>0.10574491279069767</v>
      </c>
      <c r="Z42" s="12"/>
      <c r="AA42" s="12"/>
      <c r="AB42"/>
      <c r="AC42"/>
      <c r="AD42"/>
    </row>
    <row r="43" spans="1:30" ht="15.75" thickBot="1" x14ac:dyDescent="0.3">
      <c r="E43" s="27" t="s">
        <v>82</v>
      </c>
      <c r="F43" s="78">
        <f>F40/F39</f>
        <v>0.17947691336069033</v>
      </c>
      <c r="G43" s="65"/>
      <c r="H43" s="65"/>
      <c r="I43" s="65"/>
      <c r="J43" s="65"/>
      <c r="K43" s="65"/>
      <c r="L43" s="65"/>
      <c r="M43" s="65"/>
      <c r="N43" s="65"/>
      <c r="O43" s="65"/>
      <c r="P43" s="65"/>
      <c r="Q43" s="65"/>
      <c r="V43" s="13" t="s">
        <v>48</v>
      </c>
      <c r="W43" s="13">
        <v>9</v>
      </c>
      <c r="X43" s="13">
        <v>1.0310000000000001</v>
      </c>
      <c r="Y43" s="13"/>
      <c r="Z43" s="13"/>
      <c r="AA43" s="13"/>
      <c r="AB43"/>
      <c r="AC43"/>
      <c r="AD43"/>
    </row>
    <row r="44" spans="1:30" ht="15.75" thickBot="1" x14ac:dyDescent="0.3">
      <c r="V44"/>
      <c r="W44"/>
      <c r="X44"/>
      <c r="Y44"/>
      <c r="Z44"/>
      <c r="AA44"/>
      <c r="AB44"/>
      <c r="AC44"/>
      <c r="AD44"/>
    </row>
    <row r="45" spans="1:30" ht="15.75" thickBot="1" x14ac:dyDescent="0.3">
      <c r="E45" s="50" t="s">
        <v>99</v>
      </c>
      <c r="F45" s="48">
        <f>1/(1-F43)</f>
        <v>1.218734751383767</v>
      </c>
      <c r="H45" s="351" t="s">
        <v>100</v>
      </c>
      <c r="I45" s="351"/>
      <c r="J45" s="351"/>
      <c r="K45" s="351"/>
      <c r="V45" s="14"/>
      <c r="W45" s="14" t="s">
        <v>55</v>
      </c>
      <c r="X45" s="14" t="s">
        <v>43</v>
      </c>
      <c r="Y45" s="14" t="s">
        <v>56</v>
      </c>
      <c r="Z45" s="14" t="s">
        <v>57</v>
      </c>
      <c r="AA45" s="14" t="s">
        <v>58</v>
      </c>
      <c r="AB45" s="14" t="s">
        <v>59</v>
      </c>
      <c r="AC45" s="14" t="s">
        <v>60</v>
      </c>
      <c r="AD45" s="14" t="s">
        <v>61</v>
      </c>
    </row>
    <row r="46" spans="1:30" x14ac:dyDescent="0.25">
      <c r="H46" s="351"/>
      <c r="I46" s="351"/>
      <c r="J46" s="351"/>
      <c r="K46" s="351"/>
      <c r="V46" s="12" t="s">
        <v>49</v>
      </c>
      <c r="W46" s="12">
        <v>3.6726744186046498</v>
      </c>
      <c r="X46" s="12">
        <v>2.0758877927822743</v>
      </c>
      <c r="Y46" s="12">
        <v>1.7692066167421465</v>
      </c>
      <c r="Z46" s="12">
        <v>0.11482489798281935</v>
      </c>
      <c r="AA46" s="12">
        <v>-1.1143314157711264</v>
      </c>
      <c r="AB46" s="12">
        <v>8.4596802529804265</v>
      </c>
      <c r="AC46" s="12">
        <v>-1.1143314157711264</v>
      </c>
      <c r="AD46" s="12">
        <v>8.4596802529804265</v>
      </c>
    </row>
    <row r="47" spans="1:30" ht="15.75" thickBot="1" x14ac:dyDescent="0.3">
      <c r="V47" s="13" t="s">
        <v>63</v>
      </c>
      <c r="W47" s="13">
        <v>-2.9941860465116261</v>
      </c>
      <c r="X47" s="13">
        <v>2.2634707946666763</v>
      </c>
      <c r="Y47" s="13">
        <v>-1.3228295472451883</v>
      </c>
      <c r="Z47" s="13">
        <v>0.22245249934210456</v>
      </c>
      <c r="AA47" s="13">
        <v>-8.2137590589268434</v>
      </c>
      <c r="AB47" s="13">
        <v>2.2253869659035916</v>
      </c>
      <c r="AC47" s="13">
        <v>-8.2137590589268434</v>
      </c>
      <c r="AD47" s="13">
        <v>2.2253869659035916</v>
      </c>
    </row>
    <row r="50" spans="1:30" s="61" customFormat="1" x14ac:dyDescent="0.25"/>
    <row r="51" spans="1:30" ht="18.75" x14ac:dyDescent="0.25">
      <c r="A51" s="42" t="s">
        <v>98</v>
      </c>
      <c r="B51" s="42"/>
      <c r="C51" s="67" t="s">
        <v>72</v>
      </c>
      <c r="D51" s="69"/>
      <c r="E51" s="71">
        <v>1</v>
      </c>
      <c r="F51" s="71">
        <v>1</v>
      </c>
      <c r="G51" s="71">
        <v>1</v>
      </c>
      <c r="H51" s="71">
        <v>1</v>
      </c>
      <c r="I51" s="71">
        <v>1</v>
      </c>
      <c r="J51" s="71">
        <v>1</v>
      </c>
      <c r="K51" s="71">
        <v>1</v>
      </c>
      <c r="L51" s="71">
        <v>1</v>
      </c>
      <c r="M51" s="71">
        <v>1</v>
      </c>
      <c r="N51" s="71">
        <v>1</v>
      </c>
      <c r="O51" s="64"/>
      <c r="P51" s="65"/>
      <c r="V51" t="s">
        <v>38</v>
      </c>
      <c r="W51"/>
      <c r="X51"/>
      <c r="Y51"/>
      <c r="Z51"/>
      <c r="AA51"/>
      <c r="AB51"/>
      <c r="AC51"/>
      <c r="AD51"/>
    </row>
    <row r="52" spans="1:30" ht="16.5" thickBot="1" x14ac:dyDescent="0.3">
      <c r="A52" s="44">
        <v>0.88</v>
      </c>
      <c r="B52" s="43">
        <v>1</v>
      </c>
      <c r="C52" s="68">
        <v>0.85</v>
      </c>
      <c r="D52" s="70"/>
      <c r="E52" s="72">
        <v>0.85</v>
      </c>
      <c r="F52" s="72">
        <v>0.75</v>
      </c>
      <c r="G52" s="72">
        <v>0.6</v>
      </c>
      <c r="H52" s="72">
        <v>1</v>
      </c>
      <c r="I52" s="72">
        <v>0.5</v>
      </c>
      <c r="J52" s="72">
        <v>0.85</v>
      </c>
      <c r="K52" s="72">
        <v>1</v>
      </c>
      <c r="L52" s="72">
        <v>0.75</v>
      </c>
      <c r="M52" s="72">
        <v>1.5</v>
      </c>
      <c r="N52" s="72">
        <v>1.5</v>
      </c>
      <c r="O52" s="64"/>
      <c r="P52" s="65"/>
      <c r="V52"/>
      <c r="W52"/>
      <c r="X52"/>
      <c r="Y52"/>
      <c r="Z52"/>
      <c r="AA52"/>
      <c r="AB52"/>
      <c r="AC52"/>
      <c r="AD52"/>
    </row>
    <row r="53" spans="1:30" ht="15.75" x14ac:dyDescent="0.25">
      <c r="A53" s="44">
        <v>1.03</v>
      </c>
      <c r="B53" s="43">
        <v>1</v>
      </c>
      <c r="C53" s="68">
        <v>0.75</v>
      </c>
      <c r="D53" s="70"/>
      <c r="F53" s="64"/>
      <c r="G53" s="64"/>
      <c r="H53" s="64"/>
      <c r="I53" s="64"/>
      <c r="J53" s="64"/>
      <c r="K53" s="64"/>
      <c r="L53" s="64"/>
      <c r="M53" s="64"/>
      <c r="N53" s="64"/>
      <c r="O53" s="64"/>
      <c r="P53" s="65"/>
      <c r="V53" s="15" t="s">
        <v>39</v>
      </c>
      <c r="W53" s="15"/>
      <c r="X53"/>
      <c r="Y53"/>
      <c r="Z53"/>
      <c r="AA53"/>
      <c r="AB53"/>
      <c r="AC53"/>
      <c r="AD53"/>
    </row>
    <row r="54" spans="1:30" ht="15.75" x14ac:dyDescent="0.25">
      <c r="A54" s="44">
        <v>0.91</v>
      </c>
      <c r="B54" s="43">
        <v>1</v>
      </c>
      <c r="C54" s="68">
        <v>0.6</v>
      </c>
      <c r="D54" s="70"/>
      <c r="E54" s="73">
        <f t="array" ref="E54:F55">MMULT(E51:N52,B52:C61)</f>
        <v>10</v>
      </c>
      <c r="F54" s="73">
        <v>9.3000000000000007</v>
      </c>
      <c r="G54" s="65"/>
      <c r="H54" s="74">
        <f t="array" ref="H54:I55">MINVERSE(E54:F55)</f>
        <v>0.93889427740058307</v>
      </c>
      <c r="I54" s="74">
        <v>-0.90203685741998174</v>
      </c>
      <c r="J54" s="65"/>
      <c r="K54" s="75">
        <f t="array" ref="K54:L55">MMULT(E51:N52,A52:A61)</f>
        <v>9.16</v>
      </c>
      <c r="L54" s="75">
        <v>9.16</v>
      </c>
      <c r="M54" s="65"/>
      <c r="N54" s="65"/>
      <c r="O54" s="65"/>
      <c r="P54" s="65"/>
      <c r="V54" s="12" t="s">
        <v>40</v>
      </c>
      <c r="W54" s="12">
        <v>0.42364715667669789</v>
      </c>
      <c r="X54"/>
      <c r="Y54"/>
      <c r="Z54"/>
      <c r="AA54"/>
      <c r="AB54"/>
      <c r="AC54"/>
      <c r="AD54"/>
    </row>
    <row r="55" spans="1:30" ht="15.75" x14ac:dyDescent="0.25">
      <c r="A55" s="44">
        <v>0.91</v>
      </c>
      <c r="B55" s="43">
        <v>1</v>
      </c>
      <c r="C55" s="68">
        <v>1</v>
      </c>
      <c r="D55" s="70"/>
      <c r="E55" s="73">
        <v>9.3000000000000007</v>
      </c>
      <c r="F55" s="73">
        <v>9.68</v>
      </c>
      <c r="G55" s="64"/>
      <c r="H55" s="74">
        <v>-0.90203685741998174</v>
      </c>
      <c r="I55" s="74">
        <v>0.96993210475266844</v>
      </c>
      <c r="J55" s="64"/>
      <c r="K55" s="75">
        <v>8.4570000000000007</v>
      </c>
      <c r="L55" s="75">
        <v>8.4570000000000007</v>
      </c>
      <c r="M55" s="65"/>
      <c r="N55" s="64"/>
      <c r="O55" s="64"/>
      <c r="P55" s="64"/>
      <c r="V55" s="12" t="s">
        <v>41</v>
      </c>
      <c r="W55" s="12">
        <v>0.1794769133602506</v>
      </c>
      <c r="X55"/>
      <c r="Y55"/>
      <c r="Z55"/>
      <c r="AA55"/>
      <c r="AB55"/>
      <c r="AC55"/>
      <c r="AD55"/>
    </row>
    <row r="56" spans="1:30" ht="16.5" thickBot="1" x14ac:dyDescent="0.3">
      <c r="A56" s="44">
        <v>0.97</v>
      </c>
      <c r="B56" s="43">
        <v>1</v>
      </c>
      <c r="C56" s="68">
        <v>0.5</v>
      </c>
      <c r="D56" s="70"/>
      <c r="F56" s="64"/>
      <c r="G56" s="64"/>
      <c r="H56" s="64"/>
      <c r="I56" s="65"/>
      <c r="J56" s="64"/>
      <c r="K56" s="64"/>
      <c r="L56" s="64"/>
      <c r="M56" s="65"/>
      <c r="N56" s="64"/>
      <c r="O56" s="64"/>
      <c r="P56" s="64"/>
      <c r="V56" s="12" t="s">
        <v>42</v>
      </c>
      <c r="W56" s="12">
        <v>7.6911527530281909E-2</v>
      </c>
      <c r="X56"/>
      <c r="Y56"/>
      <c r="Z56"/>
      <c r="AA56"/>
      <c r="AB56"/>
      <c r="AC56"/>
      <c r="AD56"/>
    </row>
    <row r="57" spans="1:30" ht="15.75" x14ac:dyDescent="0.25">
      <c r="A57" s="44">
        <v>0.88</v>
      </c>
      <c r="B57" s="43">
        <v>1</v>
      </c>
      <c r="C57" s="68">
        <v>0.85</v>
      </c>
      <c r="D57" s="70"/>
      <c r="E57" s="62" t="s">
        <v>37</v>
      </c>
      <c r="F57" s="76">
        <f t="array" ref="F57:F58">MMULT(H54:I55,K54:L55)</f>
        <v>0.97174587778855503</v>
      </c>
      <c r="G57" s="64"/>
      <c r="H57" s="22" t="s">
        <v>64</v>
      </c>
      <c r="I57" s="23" t="s">
        <v>65</v>
      </c>
      <c r="J57" s="64"/>
      <c r="K57" s="22" t="s">
        <v>74</v>
      </c>
      <c r="L57" s="23" t="s">
        <v>75</v>
      </c>
      <c r="M57" s="65"/>
      <c r="N57" s="64"/>
      <c r="O57" s="64"/>
      <c r="P57" s="64"/>
      <c r="V57" s="12" t="s">
        <v>43</v>
      </c>
      <c r="W57" s="12">
        <v>4.601032018504711E-2</v>
      </c>
      <c r="X57"/>
      <c r="Y57"/>
      <c r="Z57"/>
      <c r="AA57"/>
      <c r="AB57"/>
      <c r="AC57"/>
      <c r="AD57"/>
    </row>
    <row r="58" spans="1:30" ht="16.5" thickBot="1" x14ac:dyDescent="0.3">
      <c r="A58" s="44">
        <v>0.91</v>
      </c>
      <c r="B58" s="43">
        <v>1</v>
      </c>
      <c r="C58" s="68">
        <v>1</v>
      </c>
      <c r="D58" s="70"/>
      <c r="E58" s="63" t="s">
        <v>87</v>
      </c>
      <c r="F58" s="77">
        <v>-5.9941804073714522E-2</v>
      </c>
      <c r="G58" s="65"/>
      <c r="H58" s="26">
        <f>COUNT(A52:A61)</f>
        <v>10</v>
      </c>
      <c r="I58" s="19">
        <f>AVERAGE(A52:A61)</f>
        <v>0.91600000000000004</v>
      </c>
      <c r="J58" s="65"/>
      <c r="K58" s="19">
        <f t="array" ref="K58">MMULT(TRANSPOSE(A52:A61),A52:A61)</f>
        <v>8.4111999999999991</v>
      </c>
      <c r="L58" s="19">
        <f t="array" ref="L58">MMULT(TRANSPOSE(F57:F58),MMULT(E51:N52,A52:A61))</f>
        <v>8.3942644034917606</v>
      </c>
      <c r="M58" s="65"/>
      <c r="N58" s="65"/>
      <c r="O58" s="65"/>
      <c r="P58" s="65"/>
      <c r="V58" s="13" t="s">
        <v>44</v>
      </c>
      <c r="W58" s="13">
        <v>10</v>
      </c>
      <c r="X58"/>
      <c r="Y58"/>
      <c r="Z58"/>
      <c r="AA58"/>
      <c r="AB58"/>
      <c r="AC58"/>
      <c r="AD58"/>
    </row>
    <row r="59" spans="1:30" ht="16.5" thickBot="1" x14ac:dyDescent="0.3">
      <c r="A59" s="44">
        <v>0.89</v>
      </c>
      <c r="B59" s="43">
        <v>1</v>
      </c>
      <c r="C59" s="68">
        <v>0.75</v>
      </c>
      <c r="D59" s="70"/>
      <c r="F59" s="66"/>
      <c r="G59" s="64"/>
      <c r="H59" s="65"/>
      <c r="I59" s="65"/>
      <c r="J59" s="65"/>
      <c r="K59" s="65"/>
      <c r="L59" s="65"/>
      <c r="M59" s="65"/>
      <c r="N59" s="65"/>
      <c r="O59" s="65"/>
      <c r="P59" s="65"/>
      <c r="V59"/>
      <c r="W59"/>
      <c r="X59"/>
      <c r="Y59"/>
      <c r="Z59"/>
      <c r="AA59"/>
      <c r="AB59"/>
      <c r="AC59"/>
      <c r="AD59"/>
    </row>
    <row r="60" spans="1:30" ht="16.5" thickBot="1" x14ac:dyDescent="0.3">
      <c r="A60" s="44">
        <v>0.89</v>
      </c>
      <c r="B60" s="43">
        <v>1</v>
      </c>
      <c r="C60" s="68">
        <v>1.5</v>
      </c>
      <c r="D60" s="70"/>
      <c r="E60" s="33" t="s">
        <v>78</v>
      </c>
      <c r="F60" s="21">
        <f>K58-H58*I58^2</f>
        <v>2.0639999999998437E-2</v>
      </c>
      <c r="G60" s="64"/>
      <c r="H60" s="65"/>
      <c r="I60" s="65"/>
      <c r="J60" s="65"/>
      <c r="K60" s="65"/>
      <c r="L60" s="65"/>
      <c r="M60" s="65"/>
      <c r="N60" s="65"/>
      <c r="O60" s="65"/>
      <c r="P60" s="65"/>
      <c r="V60" t="s">
        <v>45</v>
      </c>
      <c r="W60"/>
      <c r="X60"/>
      <c r="Y60"/>
      <c r="Z60"/>
      <c r="AA60"/>
      <c r="AB60"/>
      <c r="AC60"/>
      <c r="AD60"/>
    </row>
    <row r="61" spans="1:30" ht="15.75" x14ac:dyDescent="0.25">
      <c r="A61" s="44">
        <v>0.89</v>
      </c>
      <c r="B61" s="43">
        <v>1</v>
      </c>
      <c r="C61" s="68">
        <v>1.5</v>
      </c>
      <c r="D61" s="70"/>
      <c r="E61" s="24" t="s">
        <v>79</v>
      </c>
      <c r="F61" s="25">
        <f>L58-H58*I58^2</f>
        <v>3.7044034917599333E-3</v>
      </c>
      <c r="G61" s="64"/>
      <c r="H61" s="65"/>
      <c r="I61" s="65"/>
      <c r="J61" s="65"/>
      <c r="K61" s="65"/>
      <c r="L61" s="65"/>
      <c r="M61" s="65"/>
      <c r="N61" s="65"/>
      <c r="O61" s="65"/>
      <c r="P61" s="65"/>
      <c r="V61" s="14"/>
      <c r="W61" s="14" t="s">
        <v>50</v>
      </c>
      <c r="X61" s="14" t="s">
        <v>51</v>
      </c>
      <c r="Y61" s="14" t="s">
        <v>52</v>
      </c>
      <c r="Z61" s="14" t="s">
        <v>53</v>
      </c>
      <c r="AA61" s="14" t="s">
        <v>54</v>
      </c>
      <c r="AB61"/>
      <c r="AC61"/>
      <c r="AD61"/>
    </row>
    <row r="62" spans="1:30" x14ac:dyDescent="0.25">
      <c r="E62" s="24" t="s">
        <v>80</v>
      </c>
      <c r="F62" s="25">
        <f>K58-L58</f>
        <v>1.6935596508238504E-2</v>
      </c>
      <c r="G62" s="65"/>
      <c r="H62" s="65"/>
      <c r="I62" s="65"/>
      <c r="J62" s="65"/>
      <c r="K62" s="65"/>
      <c r="L62" s="65"/>
      <c r="M62" s="65"/>
      <c r="N62" s="65"/>
      <c r="O62" s="65"/>
      <c r="P62" s="65"/>
      <c r="V62" s="12" t="s">
        <v>46</v>
      </c>
      <c r="W62" s="12">
        <v>1</v>
      </c>
      <c r="X62" s="12">
        <v>3.7044034917555722E-3</v>
      </c>
      <c r="Y62" s="12">
        <v>3.7044034917555722E-3</v>
      </c>
      <c r="Z62" s="12">
        <v>1.7498780110649093</v>
      </c>
      <c r="AA62" s="12">
        <v>0.22245249934210448</v>
      </c>
      <c r="AB62"/>
      <c r="AC62"/>
      <c r="AD62"/>
    </row>
    <row r="63" spans="1:30" x14ac:dyDescent="0.25">
      <c r="E63" s="24" t="s">
        <v>81</v>
      </c>
      <c r="F63" s="25" t="b">
        <f>F61+F62=F60</f>
        <v>1</v>
      </c>
      <c r="G63" s="65"/>
      <c r="H63" s="65"/>
      <c r="I63" s="65"/>
      <c r="J63" s="65"/>
      <c r="K63" s="65"/>
      <c r="L63" s="65"/>
      <c r="M63" s="65"/>
      <c r="N63" s="65"/>
      <c r="O63" s="65"/>
      <c r="P63" s="65"/>
      <c r="V63" s="12" t="s">
        <v>47</v>
      </c>
      <c r="W63" s="12">
        <v>8</v>
      </c>
      <c r="X63" s="12">
        <v>1.6935596508244426E-2</v>
      </c>
      <c r="Y63" s="12">
        <v>2.1169495635305533E-3</v>
      </c>
      <c r="Z63" s="12"/>
      <c r="AA63" s="12"/>
      <c r="AB63"/>
      <c r="AC63"/>
      <c r="AD63"/>
    </row>
    <row r="64" spans="1:30" ht="15.75" thickBot="1" x14ac:dyDescent="0.3">
      <c r="E64" s="27" t="s">
        <v>82</v>
      </c>
      <c r="F64" s="78">
        <f>F61/F60</f>
        <v>0.17947691336047547</v>
      </c>
      <c r="V64" s="13" t="s">
        <v>48</v>
      </c>
      <c r="W64" s="13">
        <v>9</v>
      </c>
      <c r="X64" s="13">
        <v>2.0639999999999999E-2</v>
      </c>
      <c r="Y64" s="13"/>
      <c r="Z64" s="13"/>
      <c r="AA64" s="13"/>
      <c r="AB64"/>
      <c r="AC64"/>
      <c r="AD64"/>
    </row>
    <row r="65" spans="1:30" ht="15.75" thickBot="1" x14ac:dyDescent="0.3">
      <c r="V65"/>
      <c r="W65"/>
      <c r="X65"/>
      <c r="Y65"/>
      <c r="Z65"/>
      <c r="AA65"/>
      <c r="AB65"/>
      <c r="AC65"/>
      <c r="AD65"/>
    </row>
    <row r="66" spans="1:30" ht="15.75" thickBot="1" x14ac:dyDescent="0.3">
      <c r="E66" s="50" t="s">
        <v>99</v>
      </c>
      <c r="F66" s="48">
        <f>1/(1-F64)</f>
        <v>1.2187347513834477</v>
      </c>
      <c r="H66" s="351" t="s">
        <v>100</v>
      </c>
      <c r="I66" s="351"/>
      <c r="J66" s="351"/>
      <c r="K66" s="351"/>
      <c r="V66" s="14"/>
      <c r="W66" s="14" t="s">
        <v>55</v>
      </c>
      <c r="X66" s="14" t="s">
        <v>43</v>
      </c>
      <c r="Y66" s="14" t="s">
        <v>56</v>
      </c>
      <c r="Z66" s="14" t="s">
        <v>57</v>
      </c>
      <c r="AA66" s="14" t="s">
        <v>58</v>
      </c>
      <c r="AB66" s="14" t="s">
        <v>59</v>
      </c>
      <c r="AC66" s="14" t="s">
        <v>60</v>
      </c>
      <c r="AD66" s="14" t="s">
        <v>61</v>
      </c>
    </row>
    <row r="67" spans="1:30" x14ac:dyDescent="0.25">
      <c r="H67" s="351"/>
      <c r="I67" s="351"/>
      <c r="J67" s="351"/>
      <c r="K67" s="351"/>
      <c r="V67" s="12" t="s">
        <v>49</v>
      </c>
      <c r="W67" s="12">
        <v>0.97174587778855481</v>
      </c>
      <c r="X67" s="12">
        <v>4.4582416160909188E-2</v>
      </c>
      <c r="Y67" s="12">
        <v>21.796617623443261</v>
      </c>
      <c r="Z67" s="12">
        <v>2.0701123057515457E-8</v>
      </c>
      <c r="AA67" s="12">
        <v>0.86893864176410518</v>
      </c>
      <c r="AB67" s="12">
        <v>1.0745531138130044</v>
      </c>
      <c r="AC67" s="12">
        <v>0.86893864176410518</v>
      </c>
      <c r="AD67" s="12">
        <v>1.0745531138130044</v>
      </c>
    </row>
    <row r="68" spans="1:30" s="61" customFormat="1" x14ac:dyDescent="0.25"/>
    <row r="69" spans="1:30" ht="18.75" x14ac:dyDescent="0.25">
      <c r="A69" s="42" t="s">
        <v>6</v>
      </c>
      <c r="B69" s="42"/>
      <c r="C69" s="42" t="s">
        <v>72</v>
      </c>
      <c r="D69" s="42" t="s">
        <v>101</v>
      </c>
      <c r="F69" s="43">
        <v>1</v>
      </c>
      <c r="G69" s="43">
        <v>1</v>
      </c>
      <c r="H69" s="43">
        <v>1</v>
      </c>
      <c r="I69" s="43">
        <v>1</v>
      </c>
      <c r="J69" s="43">
        <v>1</v>
      </c>
      <c r="K69" s="43">
        <v>1</v>
      </c>
      <c r="L69" s="43">
        <v>1</v>
      </c>
      <c r="M69" s="43">
        <v>1</v>
      </c>
      <c r="N69" s="43">
        <v>1</v>
      </c>
      <c r="O69" s="43">
        <v>1</v>
      </c>
      <c r="S69" t="s">
        <v>38</v>
      </c>
      <c r="T69"/>
      <c r="U69"/>
      <c r="V69"/>
      <c r="W69"/>
      <c r="X69"/>
      <c r="Y69"/>
      <c r="Z69"/>
      <c r="AA69"/>
      <c r="AB69"/>
      <c r="AC69"/>
      <c r="AD69"/>
    </row>
    <row r="70" spans="1:30" ht="16.5" thickBot="1" x14ac:dyDescent="0.3">
      <c r="A70" s="43">
        <v>2073</v>
      </c>
      <c r="B70" s="43">
        <v>1</v>
      </c>
      <c r="C70" s="44">
        <v>0.85</v>
      </c>
      <c r="D70" s="44">
        <f>ROW(D2)</f>
        <v>2</v>
      </c>
      <c r="F70" s="44">
        <v>0.85</v>
      </c>
      <c r="G70" s="44">
        <v>0.75</v>
      </c>
      <c r="H70" s="44">
        <v>0.6</v>
      </c>
      <c r="I70" s="44">
        <v>1</v>
      </c>
      <c r="J70" s="44">
        <v>0.5</v>
      </c>
      <c r="K70" s="44">
        <v>0.85</v>
      </c>
      <c r="L70" s="44">
        <v>1</v>
      </c>
      <c r="M70" s="44">
        <v>0.75</v>
      </c>
      <c r="N70" s="44">
        <v>1.5</v>
      </c>
      <c r="O70" s="44">
        <v>1.5</v>
      </c>
      <c r="S70"/>
      <c r="T70"/>
      <c r="U70"/>
      <c r="V70"/>
      <c r="W70"/>
      <c r="X70"/>
      <c r="Y70"/>
      <c r="Z70"/>
      <c r="AA70"/>
      <c r="AB70"/>
      <c r="AC70"/>
      <c r="AD70"/>
    </row>
    <row r="71" spans="1:30" ht="15.75" x14ac:dyDescent="0.25">
      <c r="A71" s="43">
        <v>2136</v>
      </c>
      <c r="B71" s="43">
        <v>1</v>
      </c>
      <c r="C71" s="44">
        <v>0.75</v>
      </c>
      <c r="D71" s="44">
        <f t="shared" ref="D71:D79" si="0">ROW(D3)</f>
        <v>3</v>
      </c>
      <c r="F71" s="44">
        <v>2</v>
      </c>
      <c r="G71" s="44">
        <v>3</v>
      </c>
      <c r="H71" s="44">
        <v>4</v>
      </c>
      <c r="I71" s="44">
        <v>5</v>
      </c>
      <c r="J71" s="44">
        <v>6</v>
      </c>
      <c r="K71" s="44">
        <v>7</v>
      </c>
      <c r="L71" s="44">
        <v>8</v>
      </c>
      <c r="M71" s="44">
        <v>9</v>
      </c>
      <c r="N71" s="44">
        <v>10</v>
      </c>
      <c r="O71" s="44">
        <v>11</v>
      </c>
      <c r="S71" s="15" t="s">
        <v>39</v>
      </c>
      <c r="T71" s="15"/>
      <c r="U71"/>
      <c r="V71"/>
      <c r="W71"/>
      <c r="X71"/>
      <c r="Y71"/>
      <c r="Z71"/>
      <c r="AA71"/>
      <c r="AB71"/>
      <c r="AC71"/>
      <c r="AD71"/>
    </row>
    <row r="72" spans="1:30" ht="15.75" x14ac:dyDescent="0.25">
      <c r="A72" s="43">
        <v>1879</v>
      </c>
      <c r="B72" s="43">
        <v>1</v>
      </c>
      <c r="C72" s="44">
        <v>0.6</v>
      </c>
      <c r="D72" s="44">
        <f t="shared" si="0"/>
        <v>4</v>
      </c>
      <c r="S72" s="12" t="s">
        <v>40</v>
      </c>
      <c r="T72" s="12">
        <v>0.59288387553944988</v>
      </c>
      <c r="U72"/>
      <c r="V72"/>
      <c r="W72"/>
      <c r="X72"/>
      <c r="Y72"/>
      <c r="Z72"/>
      <c r="AA72"/>
      <c r="AB72"/>
      <c r="AC72"/>
      <c r="AD72"/>
    </row>
    <row r="73" spans="1:30" ht="15.75" x14ac:dyDescent="0.25">
      <c r="A73" s="43">
        <v>938</v>
      </c>
      <c r="B73" s="43">
        <v>1</v>
      </c>
      <c r="C73" s="44">
        <v>1</v>
      </c>
      <c r="D73" s="44">
        <f t="shared" si="0"/>
        <v>5</v>
      </c>
      <c r="F73" s="19">
        <f t="array" ref="F73:H75">MMULT(F69:O71,B70:D79)</f>
        <v>10</v>
      </c>
      <c r="G73" s="19">
        <v>9.3000000000000007</v>
      </c>
      <c r="H73" s="19">
        <v>65</v>
      </c>
      <c r="J73" s="19">
        <f t="array" ref="J73:L75">MINVERSE(F73:H75)</f>
        <v>0.96033753069648475</v>
      </c>
      <c r="K73" s="19">
        <v>-0.7748576205653378</v>
      </c>
      <c r="L73" s="19">
        <v>-2.1495375933957013E-2</v>
      </c>
      <c r="N73" s="19">
        <f t="array" ref="N73:P75">MMULT(F69:O71,A70:A79)</f>
        <v>18940</v>
      </c>
      <c r="O73" s="19">
        <v>18940</v>
      </c>
      <c r="P73" s="19">
        <v>18940</v>
      </c>
      <c r="S73" s="12" t="s">
        <v>41</v>
      </c>
      <c r="T73" s="12">
        <v>0.35151128987467789</v>
      </c>
      <c r="U73"/>
      <c r="V73"/>
      <c r="W73"/>
      <c r="X73"/>
      <c r="Y73"/>
      <c r="Z73"/>
      <c r="AA73"/>
    </row>
    <row r="74" spans="1:30" ht="15.75" x14ac:dyDescent="0.25">
      <c r="A74" s="43">
        <v>7343</v>
      </c>
      <c r="B74" s="43">
        <v>1</v>
      </c>
      <c r="C74" s="44">
        <v>0.5</v>
      </c>
      <c r="D74" s="44">
        <f t="shared" si="0"/>
        <v>6</v>
      </c>
      <c r="F74" s="19">
        <v>9.3000000000000007</v>
      </c>
      <c r="G74" s="19">
        <v>9.68</v>
      </c>
      <c r="H74" s="19">
        <v>66.55</v>
      </c>
      <c r="J74" s="19">
        <v>-0.77485762056534047</v>
      </c>
      <c r="K74" s="19">
        <v>1.7242280160927954</v>
      </c>
      <c r="L74" s="19">
        <v>-0.12748837452322451</v>
      </c>
      <c r="N74" s="19">
        <v>14034.5</v>
      </c>
      <c r="O74" s="19">
        <v>14034.5</v>
      </c>
      <c r="P74" s="19">
        <v>14034.5</v>
      </c>
      <c r="S74" s="12" t="s">
        <v>42</v>
      </c>
      <c r="T74" s="12">
        <v>0.16622880126744302</v>
      </c>
      <c r="U74"/>
      <c r="V74"/>
      <c r="W74"/>
      <c r="X74"/>
      <c r="Y74"/>
      <c r="Z74"/>
      <c r="AA74"/>
    </row>
    <row r="75" spans="1:30" ht="15.75" x14ac:dyDescent="0.25">
      <c r="A75" s="43">
        <v>838</v>
      </c>
      <c r="B75" s="43">
        <v>1</v>
      </c>
      <c r="C75" s="44">
        <v>0.85</v>
      </c>
      <c r="D75" s="44">
        <f t="shared" si="0"/>
        <v>7</v>
      </c>
      <c r="F75" s="19">
        <v>65</v>
      </c>
      <c r="G75" s="19">
        <v>66.55</v>
      </c>
      <c r="H75" s="19">
        <v>505</v>
      </c>
      <c r="J75" s="19">
        <v>-2.1495375933956631E-2</v>
      </c>
      <c r="K75" s="19">
        <v>-0.1274883745232249</v>
      </c>
      <c r="L75" s="19">
        <v>2.1547625267777815E-2</v>
      </c>
      <c r="N75" s="19">
        <v>106254</v>
      </c>
      <c r="O75" s="19">
        <v>106254</v>
      </c>
      <c r="P75" s="19">
        <v>106254</v>
      </c>
      <c r="S75" s="12" t="s">
        <v>43</v>
      </c>
      <c r="T75" s="12">
        <v>1838.9740216989769</v>
      </c>
      <c r="U75"/>
      <c r="V75"/>
      <c r="W75"/>
      <c r="X75"/>
      <c r="Y75"/>
      <c r="Z75"/>
      <c r="AA75"/>
    </row>
    <row r="76" spans="1:30" ht="16.5" thickBot="1" x14ac:dyDescent="0.3">
      <c r="A76" s="43">
        <v>1648</v>
      </c>
      <c r="B76" s="43">
        <v>1</v>
      </c>
      <c r="C76" s="44">
        <v>1</v>
      </c>
      <c r="D76" s="44">
        <f t="shared" si="0"/>
        <v>8</v>
      </c>
      <c r="S76" s="13" t="s">
        <v>44</v>
      </c>
      <c r="T76" s="13">
        <v>10</v>
      </c>
      <c r="U76"/>
      <c r="V76"/>
      <c r="W76"/>
      <c r="X76"/>
      <c r="Y76"/>
      <c r="Z76"/>
      <c r="AA76"/>
    </row>
    <row r="77" spans="1:30" ht="15.75" x14ac:dyDescent="0.25">
      <c r="A77" s="43">
        <v>739</v>
      </c>
      <c r="B77" s="43">
        <v>1</v>
      </c>
      <c r="C77" s="44">
        <v>0.75</v>
      </c>
      <c r="D77" s="44">
        <f t="shared" si="0"/>
        <v>9</v>
      </c>
      <c r="F77" s="33" t="s">
        <v>37</v>
      </c>
      <c r="G77" s="21">
        <f t="array" ref="G77:G79">MMULT(J73:L75,N73:P75)</f>
        <v>5030.083881080518</v>
      </c>
      <c r="I77" s="22" t="s">
        <v>64</v>
      </c>
      <c r="J77" s="23" t="s">
        <v>65</v>
      </c>
      <c r="L77" s="22" t="s">
        <v>74</v>
      </c>
      <c r="M77" s="23" t="s">
        <v>75</v>
      </c>
      <c r="S77"/>
      <c r="T77"/>
      <c r="U77"/>
      <c r="V77"/>
      <c r="W77"/>
      <c r="X77"/>
      <c r="Y77"/>
      <c r="Z77"/>
      <c r="AA77"/>
    </row>
    <row r="78" spans="1:30" ht="16.5" thickBot="1" x14ac:dyDescent="0.3">
      <c r="A78" s="43">
        <v>1071</v>
      </c>
      <c r="B78" s="43">
        <v>1</v>
      </c>
      <c r="C78" s="44">
        <v>1.5</v>
      </c>
      <c r="D78" s="44">
        <f t="shared" si="0"/>
        <v>10</v>
      </c>
      <c r="F78" s="24" t="s">
        <v>76</v>
      </c>
      <c r="G78" s="25">
        <v>-4023.2749882439075</v>
      </c>
      <c r="I78" s="26">
        <f>COUNT(A70:A79)</f>
        <v>10</v>
      </c>
      <c r="J78" s="19">
        <f>AVERAGE(A70:A79)</f>
        <v>1894</v>
      </c>
      <c r="L78" s="19">
        <f t="array" ref="L78">MMULT(TRANSPOSE(A70:A79),A70:A79)</f>
        <v>72376894</v>
      </c>
      <c r="M78" s="19">
        <f t="array" ref="M78">MMULT(TRANSPOSE(G77:G79),MMULT(F69:O71,A70:A79))</f>
        <v>48704115.832614034</v>
      </c>
      <c r="S78" t="s">
        <v>45</v>
      </c>
      <c r="T78"/>
      <c r="U78"/>
      <c r="V78"/>
      <c r="W78"/>
      <c r="X78"/>
      <c r="Y78"/>
      <c r="Z78"/>
      <c r="AA78"/>
    </row>
    <row r="79" spans="1:30" ht="16.5" thickBot="1" x14ac:dyDescent="0.3">
      <c r="A79" s="43">
        <v>275</v>
      </c>
      <c r="B79" s="43">
        <v>1</v>
      </c>
      <c r="C79" s="44">
        <v>1.5</v>
      </c>
      <c r="D79" s="44">
        <f t="shared" si="0"/>
        <v>11</v>
      </c>
      <c r="F79" s="27" t="s">
        <v>77</v>
      </c>
      <c r="G79" s="28">
        <v>93.163362767125363</v>
      </c>
      <c r="S79" s="14"/>
      <c r="T79" s="14" t="s">
        <v>50</v>
      </c>
      <c r="U79" s="14" t="s">
        <v>51</v>
      </c>
      <c r="V79" s="14" t="s">
        <v>52</v>
      </c>
      <c r="W79" s="14" t="s">
        <v>53</v>
      </c>
      <c r="X79" s="14" t="s">
        <v>54</v>
      </c>
      <c r="Y79"/>
      <c r="Z79"/>
      <c r="AA79"/>
    </row>
    <row r="80" spans="1:30" ht="15.75" thickBot="1" x14ac:dyDescent="0.3">
      <c r="S80" s="12" t="s">
        <v>46</v>
      </c>
      <c r="T80" s="12">
        <v>2</v>
      </c>
      <c r="U80" s="12">
        <v>12831755.832614034</v>
      </c>
      <c r="V80" s="12">
        <v>6415877.9163070172</v>
      </c>
      <c r="W80" s="12">
        <v>1.8971641222923001</v>
      </c>
      <c r="X80" s="12">
        <v>0.21961321445005422</v>
      </c>
      <c r="Y80"/>
      <c r="Z80"/>
      <c r="AA80"/>
    </row>
    <row r="81" spans="1:27" ht="15.75" thickBot="1" x14ac:dyDescent="0.3">
      <c r="F81" s="33" t="s">
        <v>78</v>
      </c>
      <c r="G81" s="21">
        <f>L78-I78*J78^2</f>
        <v>36504534</v>
      </c>
      <c r="J81" s="352" t="s">
        <v>66</v>
      </c>
      <c r="K81" s="353"/>
      <c r="L81" s="353"/>
      <c r="M81" s="353"/>
      <c r="N81" s="353"/>
      <c r="O81" s="34"/>
      <c r="S81" s="12" t="s">
        <v>47</v>
      </c>
      <c r="T81" s="12">
        <v>7</v>
      </c>
      <c r="U81" s="12">
        <v>23672778.167385966</v>
      </c>
      <c r="V81" s="12">
        <v>3381825.4524837094</v>
      </c>
      <c r="W81" s="12"/>
      <c r="X81" s="12"/>
      <c r="Y81"/>
      <c r="Z81"/>
      <c r="AA81"/>
    </row>
    <row r="82" spans="1:27" ht="15.75" customHeight="1" thickBot="1" x14ac:dyDescent="0.3">
      <c r="A82" s="342" t="s">
        <v>103</v>
      </c>
      <c r="B82" s="343"/>
      <c r="C82" s="343"/>
      <c r="D82" s="344"/>
      <c r="E82" s="79"/>
      <c r="F82" s="24" t="s">
        <v>79</v>
      </c>
      <c r="G82" s="25">
        <f>M78-I78*J78^2</f>
        <v>12831755.832614034</v>
      </c>
      <c r="J82" s="24" t="s">
        <v>67</v>
      </c>
      <c r="K82" s="22" t="s">
        <v>68</v>
      </c>
      <c r="L82" s="22" t="s">
        <v>51</v>
      </c>
      <c r="M82" s="22" t="s">
        <v>69</v>
      </c>
      <c r="N82" s="22" t="s">
        <v>70</v>
      </c>
      <c r="O82" s="35" t="s">
        <v>91</v>
      </c>
      <c r="S82" s="13" t="s">
        <v>48</v>
      </c>
      <c r="T82" s="13">
        <v>9</v>
      </c>
      <c r="U82" s="13">
        <v>36504534</v>
      </c>
      <c r="V82" s="13"/>
      <c r="W82" s="13"/>
      <c r="X82" s="13"/>
      <c r="Y82"/>
      <c r="Z82"/>
      <c r="AA82"/>
    </row>
    <row r="83" spans="1:27" ht="15.75" thickBot="1" x14ac:dyDescent="0.3">
      <c r="A83" s="345"/>
      <c r="B83" s="346"/>
      <c r="C83" s="346"/>
      <c r="D83" s="347"/>
      <c r="E83" s="79"/>
      <c r="F83" s="24" t="s">
        <v>80</v>
      </c>
      <c r="G83" s="25">
        <f>L78-M78</f>
        <v>23672778.167385966</v>
      </c>
      <c r="J83" s="16" t="s">
        <v>46</v>
      </c>
      <c r="K83" s="36">
        <v>2</v>
      </c>
      <c r="L83" s="36">
        <f>G82</f>
        <v>12831755.832614034</v>
      </c>
      <c r="M83" s="36">
        <f>L83/K83</f>
        <v>6415877.9163070172</v>
      </c>
      <c r="N83" s="36">
        <f>M83/M84</f>
        <v>1.8971641222923001</v>
      </c>
      <c r="O83" s="37">
        <f>_xlfn.F.INV(5%,K83,K84)</f>
        <v>5.1670994662000869E-2</v>
      </c>
      <c r="P83"/>
      <c r="S83"/>
      <c r="T83"/>
      <c r="U83"/>
      <c r="V83"/>
      <c r="W83"/>
      <c r="X83"/>
      <c r="Y83"/>
      <c r="Z83"/>
      <c r="AA83"/>
    </row>
    <row r="84" spans="1:27" x14ac:dyDescent="0.25">
      <c r="A84" s="345"/>
      <c r="B84" s="346"/>
      <c r="C84" s="346"/>
      <c r="D84" s="347"/>
      <c r="E84" s="79"/>
      <c r="F84" s="24" t="s">
        <v>81</v>
      </c>
      <c r="G84" s="25" t="b">
        <f>G82+G83=G81</f>
        <v>1</v>
      </c>
      <c r="J84" s="16" t="s">
        <v>71</v>
      </c>
      <c r="K84" s="36">
        <f>I78-(K83+1)</f>
        <v>7</v>
      </c>
      <c r="L84" s="36">
        <f>G83</f>
        <v>23672778.167385966</v>
      </c>
      <c r="M84" s="36">
        <f>L84/K84</f>
        <v>3381825.4524837094</v>
      </c>
      <c r="N84" s="36"/>
      <c r="O84" s="59"/>
      <c r="S84" s="14"/>
      <c r="T84" s="14" t="s">
        <v>55</v>
      </c>
      <c r="U84" s="14" t="s">
        <v>43</v>
      </c>
      <c r="V84" s="14" t="s">
        <v>56</v>
      </c>
      <c r="W84" s="14" t="s">
        <v>57</v>
      </c>
      <c r="X84" s="14" t="s">
        <v>58</v>
      </c>
      <c r="Y84" s="14" t="s">
        <v>59</v>
      </c>
      <c r="Z84" s="14" t="s">
        <v>60</v>
      </c>
      <c r="AA84" s="14" t="s">
        <v>61</v>
      </c>
    </row>
    <row r="85" spans="1:27" ht="15.75" thickBot="1" x14ac:dyDescent="0.3">
      <c r="A85" s="348"/>
      <c r="B85" s="349"/>
      <c r="C85" s="349"/>
      <c r="D85" s="350"/>
      <c r="E85" s="79"/>
      <c r="F85" s="24" t="s">
        <v>82</v>
      </c>
      <c r="G85" s="40">
        <f>G82/G81</f>
        <v>0.35151128987467789</v>
      </c>
      <c r="J85" s="17" t="s">
        <v>48</v>
      </c>
      <c r="K85" s="38">
        <f>I78-1</f>
        <v>9</v>
      </c>
      <c r="L85" s="38">
        <f>G81</f>
        <v>36504534</v>
      </c>
      <c r="M85" s="38">
        <f>L85/K85</f>
        <v>4056059.3333333335</v>
      </c>
      <c r="N85" s="38"/>
      <c r="O85" s="39"/>
      <c r="S85" s="12" t="s">
        <v>49</v>
      </c>
      <c r="T85" s="12">
        <v>5030.0838810805171</v>
      </c>
      <c r="U85" s="12">
        <v>1802.1359283596573</v>
      </c>
      <c r="V85" s="12">
        <v>2.7911789571050876</v>
      </c>
      <c r="W85" s="12">
        <v>2.6862745948842109E-2</v>
      </c>
      <c r="X85" s="12">
        <v>768.70956021459369</v>
      </c>
      <c r="Y85" s="12">
        <v>9291.4582019464397</v>
      </c>
      <c r="Z85" s="12">
        <v>768.70956021459369</v>
      </c>
      <c r="AA85" s="12">
        <v>9291.4582019464397</v>
      </c>
    </row>
    <row r="86" spans="1:27" ht="15.75" thickBot="1" x14ac:dyDescent="0.3">
      <c r="F86" s="27" t="s">
        <v>83</v>
      </c>
      <c r="G86" s="41">
        <f>1-(M84/M85)</f>
        <v>0.16622880126744299</v>
      </c>
      <c r="S86" s="12" t="s">
        <v>62</v>
      </c>
      <c r="T86" s="12">
        <v>-4023.2749882439011</v>
      </c>
      <c r="U86" s="12">
        <v>2414.7542712889249</v>
      </c>
      <c r="V86" s="12">
        <v>-1.666121905686244</v>
      </c>
      <c r="W86" s="12">
        <v>0.13962980808286526</v>
      </c>
      <c r="X86" s="12">
        <v>-9733.261499770957</v>
      </c>
      <c r="Y86" s="12">
        <v>1686.7115232831538</v>
      </c>
      <c r="Z86" s="12">
        <v>-9733.261499770957</v>
      </c>
      <c r="AA86" s="12">
        <v>1686.7115232831538</v>
      </c>
    </row>
    <row r="87" spans="1:27" ht="15.75" customHeight="1" thickBot="1" x14ac:dyDescent="0.3">
      <c r="B87" s="80"/>
      <c r="C87" s="80"/>
      <c r="D87" s="80"/>
      <c r="E87" s="80"/>
      <c r="F87" s="80"/>
      <c r="G87" s="80"/>
      <c r="H87" s="80"/>
      <c r="I87" s="80"/>
      <c r="S87" s="13" t="s">
        <v>102</v>
      </c>
      <c r="T87" s="13">
        <v>93.163362767124838</v>
      </c>
      <c r="U87" s="13">
        <v>269.94500842051553</v>
      </c>
      <c r="V87" s="13">
        <v>0.3451197831448567</v>
      </c>
      <c r="W87" s="13">
        <v>0.74014225633806718</v>
      </c>
      <c r="X87" s="13">
        <v>-545.15515074044481</v>
      </c>
      <c r="Y87" s="13">
        <v>731.4818762746944</v>
      </c>
      <c r="Z87" s="13">
        <v>-545.15515074044481</v>
      </c>
      <c r="AA87" s="13">
        <v>731.4818762746944</v>
      </c>
    </row>
    <row r="88" spans="1:27" ht="15.75" thickBot="1" x14ac:dyDescent="0.3">
      <c r="A88" s="80"/>
      <c r="B88" s="80"/>
      <c r="C88" s="80"/>
      <c r="D88" s="80"/>
      <c r="E88" s="80"/>
      <c r="F88" s="80"/>
      <c r="G88" s="80"/>
      <c r="H88" s="80"/>
      <c r="I88" s="80"/>
      <c r="S88"/>
      <c r="T88"/>
      <c r="U88"/>
      <c r="V88"/>
      <c r="W88"/>
      <c r="X88"/>
      <c r="Y88"/>
      <c r="Z88"/>
      <c r="AA88"/>
    </row>
    <row r="89" spans="1:27" ht="15" customHeight="1" x14ac:dyDescent="0.25">
      <c r="A89" s="342" t="s">
        <v>104</v>
      </c>
      <c r="B89" s="343"/>
      <c r="C89" s="343"/>
      <c r="D89" s="343"/>
      <c r="E89" s="343"/>
      <c r="F89" s="343"/>
      <c r="G89" s="343"/>
      <c r="H89" s="344"/>
      <c r="I89" s="80"/>
      <c r="S89"/>
      <c r="T89"/>
      <c r="U89"/>
      <c r="V89"/>
      <c r="W89"/>
      <c r="X89"/>
      <c r="Y89"/>
      <c r="Z89"/>
      <c r="AA89"/>
    </row>
    <row r="90" spans="1:27" x14ac:dyDescent="0.25">
      <c r="A90" s="345"/>
      <c r="B90" s="346"/>
      <c r="C90" s="346"/>
      <c r="D90" s="346"/>
      <c r="E90" s="346"/>
      <c r="F90" s="346"/>
      <c r="G90" s="346"/>
      <c r="H90" s="347"/>
      <c r="I90" s="80"/>
      <c r="S90"/>
      <c r="T90"/>
      <c r="U90"/>
      <c r="V90"/>
      <c r="W90"/>
      <c r="X90"/>
      <c r="Y90"/>
      <c r="Z90"/>
      <c r="AA90"/>
    </row>
    <row r="91" spans="1:27" ht="15.75" thickBot="1" x14ac:dyDescent="0.3">
      <c r="A91" s="348"/>
      <c r="B91" s="349"/>
      <c r="C91" s="349"/>
      <c r="D91" s="349"/>
      <c r="E91" s="349"/>
      <c r="F91" s="349"/>
      <c r="G91" s="349"/>
      <c r="H91" s="350"/>
      <c r="I91" s="80"/>
    </row>
  </sheetData>
  <mergeCells count="10">
    <mergeCell ref="K27:M27"/>
    <mergeCell ref="O26:R28"/>
    <mergeCell ref="J13:N13"/>
    <mergeCell ref="Q14:S16"/>
    <mergeCell ref="J19:L19"/>
    <mergeCell ref="A89:H91"/>
    <mergeCell ref="H66:K67"/>
    <mergeCell ref="H45:K46"/>
    <mergeCell ref="J81:N81"/>
    <mergeCell ref="A82:D85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28"/>
  <sheetViews>
    <sheetView workbookViewId="0">
      <selection activeCell="L18" sqref="L18"/>
    </sheetView>
  </sheetViews>
  <sheetFormatPr defaultRowHeight="15" x14ac:dyDescent="0.25"/>
  <cols>
    <col min="1" max="1" width="15" style="18" customWidth="1"/>
    <col min="2" max="2" width="9.140625" style="18"/>
    <col min="3" max="4" width="13.140625" style="18" customWidth="1"/>
    <col min="5" max="5" width="17.85546875" style="18" bestFit="1" customWidth="1"/>
    <col min="6" max="6" width="20.140625" style="18" customWidth="1"/>
    <col min="7" max="7" width="18" style="18" bestFit="1" customWidth="1"/>
    <col min="8" max="8" width="16.7109375" style="18" bestFit="1" customWidth="1"/>
    <col min="9" max="9" width="18" style="18" bestFit="1" customWidth="1"/>
    <col min="10" max="10" width="18.85546875" style="18" bestFit="1" customWidth="1"/>
    <col min="11" max="16" width="14.28515625" style="18" customWidth="1"/>
    <col min="17" max="20" width="10.140625" style="18" customWidth="1"/>
    <col min="21" max="21" width="11.5703125" style="18" customWidth="1"/>
    <col min="22" max="22" width="10.42578125" style="18" bestFit="1" customWidth="1"/>
    <col min="23" max="23" width="13.42578125" style="18" bestFit="1" customWidth="1"/>
    <col min="24" max="24" width="15.28515625" style="18" customWidth="1"/>
    <col min="25" max="16384" width="9.140625" style="18"/>
  </cols>
  <sheetData>
    <row r="1" spans="1:32" ht="15.75" x14ac:dyDescent="0.25">
      <c r="A1" s="93" t="s">
        <v>105</v>
      </c>
      <c r="B1" s="93"/>
      <c r="C1" s="93" t="s">
        <v>108</v>
      </c>
      <c r="D1" s="93" t="s">
        <v>106</v>
      </c>
      <c r="E1" s="93" t="s">
        <v>113</v>
      </c>
      <c r="F1" s="93" t="s">
        <v>112</v>
      </c>
      <c r="H1" s="115">
        <v>1</v>
      </c>
      <c r="I1" s="115">
        <v>1</v>
      </c>
      <c r="J1" s="115">
        <v>1</v>
      </c>
      <c r="K1" s="115">
        <v>1</v>
      </c>
      <c r="L1" s="115">
        <v>1</v>
      </c>
      <c r="M1" s="115">
        <v>1</v>
      </c>
      <c r="N1" s="115">
        <v>1</v>
      </c>
      <c r="O1" s="115">
        <v>1</v>
      </c>
      <c r="U1" s="112"/>
      <c r="X1" s="110" t="s">
        <v>38</v>
      </c>
    </row>
    <row r="2" spans="1:32" ht="16.5" thickBot="1" x14ac:dyDescent="0.3">
      <c r="A2" s="95">
        <v>33.1</v>
      </c>
      <c r="B2" s="96">
        <v>1</v>
      </c>
      <c r="C2" s="97">
        <v>1170.5999999999999</v>
      </c>
      <c r="D2" s="97">
        <v>97.8</v>
      </c>
      <c r="E2" s="97">
        <f t="array" ref="E2">A2-($M$9+SUMPRODUCT(TRANSPOSE($M$10:$M$11),C2:D2))</f>
        <v>3.9343507395499628</v>
      </c>
      <c r="F2" s="97">
        <f>E2^2</f>
        <v>15.47911574179734</v>
      </c>
      <c r="H2" s="94">
        <v>1170.5999999999999</v>
      </c>
      <c r="I2" s="94">
        <v>1588</v>
      </c>
      <c r="J2" s="94">
        <v>1687.2</v>
      </c>
      <c r="K2" s="94">
        <v>1749.4</v>
      </c>
      <c r="L2" s="94">
        <v>1834.1</v>
      </c>
      <c r="M2" s="94">
        <v>2015.8</v>
      </c>
      <c r="N2" s="94">
        <v>2039.7</v>
      </c>
      <c r="O2" s="94">
        <v>2132.1999999999998</v>
      </c>
      <c r="U2" s="112"/>
      <c r="X2" s="110"/>
    </row>
    <row r="3" spans="1:32" ht="15.75" x14ac:dyDescent="0.25">
      <c r="A3" s="95">
        <v>80</v>
      </c>
      <c r="B3" s="96">
        <v>1</v>
      </c>
      <c r="C3" s="97">
        <v>1588</v>
      </c>
      <c r="D3" s="97">
        <v>287.8</v>
      </c>
      <c r="E3" s="97">
        <f t="array" ref="E3">A3-($M$9+SUMPRODUCT(TRANSPOSE($M$10:$M$11),C3:D3))</f>
        <v>7.6233092646567684</v>
      </c>
      <c r="F3" s="97">
        <f t="shared" ref="F3:F9" si="0">E3^2</f>
        <v>58.114844144601719</v>
      </c>
      <c r="H3" s="94">
        <v>97.8</v>
      </c>
      <c r="I3" s="94">
        <v>287.8</v>
      </c>
      <c r="J3" s="94">
        <v>321.3</v>
      </c>
      <c r="K3" s="94">
        <v>319.89999999999998</v>
      </c>
      <c r="L3" s="94">
        <v>220.9</v>
      </c>
      <c r="M3" s="94">
        <v>104.4</v>
      </c>
      <c r="N3" s="94">
        <v>156.19999999999999</v>
      </c>
      <c r="O3" s="94">
        <v>186.6</v>
      </c>
      <c r="U3" s="113"/>
      <c r="X3" s="111" t="s">
        <v>39</v>
      </c>
    </row>
    <row r="4" spans="1:32" ht="15.75" x14ac:dyDescent="0.25">
      <c r="A4" s="95">
        <v>67</v>
      </c>
      <c r="B4" s="96">
        <v>1</v>
      </c>
      <c r="C4" s="97">
        <v>1687.2</v>
      </c>
      <c r="D4" s="97">
        <v>321.3</v>
      </c>
      <c r="E4" s="97">
        <f t="array" ref="E4">A4-($M$9+SUMPRODUCT(TRANSPOSE($M$10:$M$11),C4:D4))</f>
        <v>-13.722475221618282</v>
      </c>
      <c r="F4" s="97">
        <f t="shared" si="0"/>
        <v>188.30632620792773</v>
      </c>
      <c r="H4" s="98"/>
      <c r="I4" s="98"/>
      <c r="J4" s="98"/>
      <c r="K4" s="98"/>
      <c r="L4" s="98"/>
      <c r="M4" s="98"/>
      <c r="N4" s="98"/>
      <c r="O4" s="98"/>
      <c r="U4" s="112"/>
      <c r="X4" s="30" t="s">
        <v>40</v>
      </c>
      <c r="Y4" s="30">
        <v>0.76639439031727774</v>
      </c>
    </row>
    <row r="5" spans="1:32" ht="15.75" x14ac:dyDescent="0.25">
      <c r="A5" s="95">
        <v>82</v>
      </c>
      <c r="B5" s="96">
        <v>1</v>
      </c>
      <c r="C5" s="97">
        <v>1749.4</v>
      </c>
      <c r="D5" s="97">
        <v>319.89999999999998</v>
      </c>
      <c r="E5" s="97">
        <f t="array" ref="E5">A5-($M$9+SUMPRODUCT(TRANSPOSE($M$10:$M$11),C5:D5))</f>
        <v>-0.25737216514056627</v>
      </c>
      <c r="F5" s="97">
        <f t="shared" si="0"/>
        <v>6.6240431389142915E-2</v>
      </c>
      <c r="H5" s="94">
        <f t="array" ref="H5:J7">MMULT(H1:O3,B2:D9)</f>
        <v>8</v>
      </c>
      <c r="I5" s="94">
        <v>14217</v>
      </c>
      <c r="J5" s="94">
        <v>1694.9000000000003</v>
      </c>
      <c r="K5" s="98"/>
      <c r="L5" s="94">
        <f t="array" ref="L5:N7">MINVERSE(H5:J7)</f>
        <v>5.7694577277581516</v>
      </c>
      <c r="M5" s="94">
        <v>-2.7015922667185288E-3</v>
      </c>
      <c r="N5" s="94">
        <v>-3.9808393215693553E-3</v>
      </c>
      <c r="O5" s="98"/>
      <c r="U5" s="112"/>
      <c r="X5" s="30" t="s">
        <v>41</v>
      </c>
      <c r="Y5" s="30">
        <v>0.58736036150979187</v>
      </c>
    </row>
    <row r="6" spans="1:32" ht="15.75" x14ac:dyDescent="0.25">
      <c r="A6" s="95">
        <v>72</v>
      </c>
      <c r="B6" s="96">
        <v>1</v>
      </c>
      <c r="C6" s="97">
        <v>1834.1</v>
      </c>
      <c r="D6" s="97">
        <v>220.9</v>
      </c>
      <c r="E6" s="97">
        <f t="array" ref="E6">A6-($M$9+SUMPRODUCT(TRANSPOSE($M$10:$M$11),C6:D6))</f>
        <v>3.6781979155138913</v>
      </c>
      <c r="F6" s="97">
        <f t="shared" si="0"/>
        <v>13.529139905690736</v>
      </c>
      <c r="H6" s="94">
        <v>14217</v>
      </c>
      <c r="I6" s="94">
        <v>25933117.940000001</v>
      </c>
      <c r="J6" s="94">
        <v>3005313.37</v>
      </c>
      <c r="K6" s="98"/>
      <c r="L6" s="94">
        <v>-2.7015922667185301E-3</v>
      </c>
      <c r="M6" s="94">
        <v>1.4993700997907985E-6</v>
      </c>
      <c r="N6" s="94">
        <v>1.747556935644949E-7</v>
      </c>
      <c r="O6" s="98"/>
      <c r="X6" s="30" t="s">
        <v>42</v>
      </c>
      <c r="Y6" s="30">
        <v>0.42230450611370857</v>
      </c>
    </row>
    <row r="7" spans="1:32" ht="15.75" x14ac:dyDescent="0.25">
      <c r="A7" s="95">
        <v>45</v>
      </c>
      <c r="B7" s="96">
        <v>1</v>
      </c>
      <c r="C7" s="97">
        <v>2015.8</v>
      </c>
      <c r="D7" s="97">
        <v>104.4</v>
      </c>
      <c r="E7" s="97">
        <f t="array" ref="E7">A7-($M$9+SUMPRODUCT(TRANSPOSE($M$10:$M$11),C7:D7))</f>
        <v>-9.251793572754309</v>
      </c>
      <c r="F7" s="97">
        <f t="shared" si="0"/>
        <v>85.595684312857941</v>
      </c>
      <c r="H7" s="94">
        <v>1694.9000000000003</v>
      </c>
      <c r="I7" s="94">
        <v>3005313.37</v>
      </c>
      <c r="J7" s="94">
        <v>416877.55</v>
      </c>
      <c r="K7" s="98"/>
      <c r="L7" s="94">
        <v>-3.9808393215693396E-3</v>
      </c>
      <c r="M7" s="94">
        <v>1.747556935644865E-7</v>
      </c>
      <c r="N7" s="94">
        <v>1.7323861512271173E-5</v>
      </c>
      <c r="O7" s="98"/>
      <c r="X7" s="30" t="s">
        <v>43</v>
      </c>
      <c r="Y7" s="30">
        <v>16.96978706492553</v>
      </c>
    </row>
    <row r="8" spans="1:32" ht="16.5" thickBot="1" x14ac:dyDescent="0.3">
      <c r="A8" s="95">
        <v>44.6</v>
      </c>
      <c r="B8" s="96">
        <v>1</v>
      </c>
      <c r="C8" s="97">
        <v>2039.7</v>
      </c>
      <c r="D8" s="97">
        <v>156.19999999999999</v>
      </c>
      <c r="E8" s="97">
        <f t="array" ref="E8">A8-($M$9+SUMPRODUCT(TRANSPOSE($M$10:$M$11),C8:D8))</f>
        <v>-18.880162824720379</v>
      </c>
      <c r="F8" s="97">
        <f t="shared" si="0"/>
        <v>356.46054828795343</v>
      </c>
      <c r="H8" s="98"/>
      <c r="I8" s="98"/>
      <c r="J8" s="98"/>
      <c r="K8" s="98"/>
      <c r="L8" s="98"/>
      <c r="M8" s="98"/>
      <c r="N8" s="98"/>
      <c r="O8" s="98"/>
      <c r="X8" s="31" t="s">
        <v>44</v>
      </c>
      <c r="Y8" s="31">
        <v>8</v>
      </c>
    </row>
    <row r="9" spans="1:32" ht="15.75" x14ac:dyDescent="0.25">
      <c r="A9" s="95">
        <v>98</v>
      </c>
      <c r="B9" s="96">
        <v>1</v>
      </c>
      <c r="C9" s="97">
        <v>2132.1999999999998</v>
      </c>
      <c r="D9" s="97">
        <v>186.6</v>
      </c>
      <c r="E9" s="97">
        <f t="array" ref="E9">A9-($M$9+SUMPRODUCT(TRANSPOSE($M$10:$M$11),C9:D9))</f>
        <v>26.875945864515188</v>
      </c>
      <c r="F9" s="97">
        <f t="shared" si="0"/>
        <v>722.31646611235101</v>
      </c>
      <c r="H9" s="94">
        <f t="array" ref="H9:J11">MMULT(H1:O3,A2:A9)</f>
        <v>521.70000000000005</v>
      </c>
      <c r="I9" s="94">
        <v>521.70000000000005</v>
      </c>
      <c r="J9" s="94">
        <v>521.70000000000005</v>
      </c>
      <c r="K9" s="98"/>
      <c r="L9" s="99" t="s">
        <v>37</v>
      </c>
      <c r="M9" s="100">
        <f t="array" ref="M9:M11">MMULT(L5:N7,H9:J11)</f>
        <v>-20.212138338714112</v>
      </c>
      <c r="N9" s="98"/>
      <c r="O9" s="277" t="s">
        <v>109</v>
      </c>
      <c r="P9" s="278"/>
      <c r="Q9" s="278"/>
      <c r="R9" s="278"/>
      <c r="S9" s="278"/>
      <c r="T9" s="279"/>
    </row>
    <row r="10" spans="1:32" ht="16.5" thickBot="1" x14ac:dyDescent="0.3">
      <c r="H10" s="94">
        <v>944972.48</v>
      </c>
      <c r="I10" s="94">
        <v>944972.48</v>
      </c>
      <c r="J10" s="94">
        <v>944972.48</v>
      </c>
      <c r="K10" s="98"/>
      <c r="L10" s="101" t="s">
        <v>87</v>
      </c>
      <c r="M10" s="102">
        <v>2.8391844562977227E-2</v>
      </c>
      <c r="N10" s="98"/>
      <c r="O10" s="280" t="s">
        <v>110</v>
      </c>
      <c r="P10" s="281"/>
      <c r="Q10" s="281"/>
      <c r="R10" s="281"/>
      <c r="S10" s="281"/>
      <c r="T10" s="282"/>
      <c r="X10" s="18" t="s">
        <v>45</v>
      </c>
    </row>
    <row r="11" spans="1:32" ht="16.5" thickBot="1" x14ac:dyDescent="0.3">
      <c r="H11" s="94">
        <v>119876.20000000001</v>
      </c>
      <c r="I11" s="94">
        <v>119876.20000000001</v>
      </c>
      <c r="J11" s="94">
        <v>119876.20000000001</v>
      </c>
      <c r="K11" s="98"/>
      <c r="L11" s="103" t="s">
        <v>88</v>
      </c>
      <c r="M11" s="104">
        <v>0.16505413449634987</v>
      </c>
      <c r="N11" s="98"/>
      <c r="O11" s="283" t="s">
        <v>111</v>
      </c>
      <c r="P11" s="284"/>
      <c r="Q11" s="284"/>
      <c r="R11" s="284"/>
      <c r="S11" s="284"/>
      <c r="T11" s="285"/>
      <c r="X11" s="32"/>
      <c r="Y11" s="32" t="s">
        <v>50</v>
      </c>
      <c r="Z11" s="32" t="s">
        <v>51</v>
      </c>
      <c r="AA11" s="32" t="s">
        <v>52</v>
      </c>
      <c r="AB11" s="32" t="s">
        <v>53</v>
      </c>
      <c r="AC11" s="32" t="s">
        <v>54</v>
      </c>
    </row>
    <row r="12" spans="1:32" ht="15.75" x14ac:dyDescent="0.25">
      <c r="H12" s="98"/>
      <c r="I12" s="98"/>
      <c r="J12" s="98"/>
      <c r="K12" s="98"/>
      <c r="L12" s="98"/>
      <c r="M12" s="98"/>
      <c r="N12" s="98"/>
      <c r="O12" s="105"/>
      <c r="X12" s="30" t="s">
        <v>46</v>
      </c>
      <c r="Y12" s="30">
        <v>2</v>
      </c>
      <c r="Z12" s="30">
        <v>2049.5403848554311</v>
      </c>
      <c r="AA12" s="30">
        <v>1024.7701924277155</v>
      </c>
      <c r="AB12" s="30">
        <v>3.5585551333535412</v>
      </c>
      <c r="AC12" s="30">
        <v>0.10937734086393847</v>
      </c>
    </row>
    <row r="13" spans="1:32" x14ac:dyDescent="0.25">
      <c r="H13" s="81" t="s">
        <v>64</v>
      </c>
      <c r="I13" s="82" t="s">
        <v>65</v>
      </c>
      <c r="K13" s="81" t="s">
        <v>74</v>
      </c>
      <c r="L13" s="82" t="s">
        <v>75</v>
      </c>
      <c r="X13" s="30" t="s">
        <v>47</v>
      </c>
      <c r="Y13" s="30">
        <v>5</v>
      </c>
      <c r="Z13" s="30">
        <v>1439.868365144569</v>
      </c>
      <c r="AA13" s="30">
        <v>287.97367302891382</v>
      </c>
      <c r="AB13" s="30"/>
      <c r="AC13" s="30"/>
    </row>
    <row r="14" spans="1:32" ht="15.75" thickBot="1" x14ac:dyDescent="0.3">
      <c r="H14" s="83">
        <f>COUNT(A2:A9)</f>
        <v>8</v>
      </c>
      <c r="I14" s="84">
        <f>AVERAGE(A2:A9)</f>
        <v>65.212500000000006</v>
      </c>
      <c r="K14" s="85">
        <f t="array" ref="K14">MMULT(TRANSPOSE(A2:A9),A2:A9)</f>
        <v>37510.770000000004</v>
      </c>
      <c r="L14" s="85">
        <f t="array" ref="L14">MMULT(TRANSPOSE(M9:M11),MMULT(H1:O3,A2:A9))</f>
        <v>36070.90163485529</v>
      </c>
      <c r="X14" s="31" t="s">
        <v>48</v>
      </c>
      <c r="Y14" s="31">
        <v>7</v>
      </c>
      <c r="Z14" s="31">
        <v>3489.4087500000001</v>
      </c>
      <c r="AA14" s="31"/>
      <c r="AB14" s="31"/>
      <c r="AC14" s="31"/>
    </row>
    <row r="15" spans="1:32" ht="15.75" thickBot="1" x14ac:dyDescent="0.3"/>
    <row r="16" spans="1:32" x14ac:dyDescent="0.25">
      <c r="H16" s="86" t="s">
        <v>78</v>
      </c>
      <c r="I16" s="87">
        <f>K14-H14*I14^2</f>
        <v>3489.4087499999951</v>
      </c>
      <c r="K16" s="295" t="s">
        <v>66</v>
      </c>
      <c r="L16" s="296"/>
      <c r="M16" s="296"/>
      <c r="N16" s="296"/>
      <c r="O16" s="296"/>
      <c r="P16" s="91"/>
      <c r="X16" s="32"/>
      <c r="Y16" s="32" t="s">
        <v>55</v>
      </c>
      <c r="Z16" s="32" t="s">
        <v>43</v>
      </c>
      <c r="AA16" s="32" t="s">
        <v>56</v>
      </c>
      <c r="AB16" s="32" t="s">
        <v>57</v>
      </c>
      <c r="AC16" s="32" t="s">
        <v>58</v>
      </c>
      <c r="AD16" s="32" t="s">
        <v>59</v>
      </c>
      <c r="AE16" s="32" t="s">
        <v>60</v>
      </c>
      <c r="AF16" s="32" t="s">
        <v>61</v>
      </c>
    </row>
    <row r="17" spans="1:32" ht="15.75" thickBot="1" x14ac:dyDescent="0.3">
      <c r="H17" s="88" t="s">
        <v>79</v>
      </c>
      <c r="I17" s="89">
        <f>L14-H14*I14^2</f>
        <v>2049.5403848552814</v>
      </c>
      <c r="K17" s="88" t="s">
        <v>67</v>
      </c>
      <c r="L17" s="81" t="s">
        <v>68</v>
      </c>
      <c r="M17" s="81" t="s">
        <v>51</v>
      </c>
      <c r="N17" s="81" t="s">
        <v>69</v>
      </c>
      <c r="O17" s="81" t="s">
        <v>70</v>
      </c>
      <c r="P17" s="92" t="s">
        <v>91</v>
      </c>
      <c r="X17" s="30" t="s">
        <v>49</v>
      </c>
      <c r="Y17" s="30">
        <v>-20.212138338713302</v>
      </c>
      <c r="Z17" s="30">
        <v>40.760911830423602</v>
      </c>
      <c r="AA17" s="30">
        <v>-0.49587061307169122</v>
      </c>
      <c r="AB17" s="30">
        <v>0.64101026637933012</v>
      </c>
      <c r="AC17" s="30">
        <v>-124.9913978939736</v>
      </c>
      <c r="AD17" s="30">
        <v>84.567121216546994</v>
      </c>
      <c r="AE17" s="30">
        <v>-124.9913978939736</v>
      </c>
      <c r="AF17" s="30">
        <v>84.567121216546994</v>
      </c>
    </row>
    <row r="18" spans="1:32" ht="15" customHeight="1" x14ac:dyDescent="0.25">
      <c r="H18" s="88" t="s">
        <v>80</v>
      </c>
      <c r="I18" s="89">
        <f>K14-L14</f>
        <v>1439.8683651447136</v>
      </c>
      <c r="K18" s="16" t="s">
        <v>46</v>
      </c>
      <c r="L18" s="36">
        <v>2</v>
      </c>
      <c r="M18" s="36">
        <f>I17</f>
        <v>2049.5403848552814</v>
      </c>
      <c r="N18" s="36">
        <f>M18/L18</f>
        <v>1024.7701924276407</v>
      </c>
      <c r="O18" s="36">
        <f>N18/N19</f>
        <v>3.5585551333529248</v>
      </c>
      <c r="P18" s="37">
        <f>_xlfn.F.INV(5%,L18,L19)</f>
        <v>5.1823112072844055E-2</v>
      </c>
      <c r="R18" s="286" t="s">
        <v>84</v>
      </c>
      <c r="S18" s="287"/>
      <c r="T18" s="287"/>
      <c r="U18" s="287"/>
      <c r="V18" s="288"/>
      <c r="X18" s="30" t="s">
        <v>107</v>
      </c>
      <c r="Y18" s="30">
        <v>2.839184456297697E-2</v>
      </c>
      <c r="Z18" s="30">
        <v>2.0779295340951447E-2</v>
      </c>
      <c r="AA18" s="30">
        <v>1.366352616733006</v>
      </c>
      <c r="AB18" s="30">
        <v>0.23006914505584472</v>
      </c>
      <c r="AC18" s="30">
        <v>-2.5023034597795132E-2</v>
      </c>
      <c r="AD18" s="30">
        <v>8.1806723723749072E-2</v>
      </c>
      <c r="AE18" s="30">
        <v>-2.5023034597795132E-2</v>
      </c>
      <c r="AF18" s="30">
        <v>8.1806723723749072E-2</v>
      </c>
    </row>
    <row r="19" spans="1:32" ht="15.75" customHeight="1" thickBot="1" x14ac:dyDescent="0.3">
      <c r="H19" s="88" t="s">
        <v>81</v>
      </c>
      <c r="I19" s="89" t="b">
        <f>I17+I18=I16</f>
        <v>1</v>
      </c>
      <c r="K19" s="16" t="s">
        <v>71</v>
      </c>
      <c r="L19" s="36">
        <f>H14-(L18+1)</f>
        <v>5</v>
      </c>
      <c r="M19" s="36">
        <f>I18</f>
        <v>1439.8683651447136</v>
      </c>
      <c r="N19" s="36">
        <f>M19/L19</f>
        <v>287.9736730289427</v>
      </c>
      <c r="O19" s="36"/>
      <c r="P19" s="59"/>
      <c r="R19" s="289"/>
      <c r="S19" s="290"/>
      <c r="T19" s="290"/>
      <c r="U19" s="290"/>
      <c r="V19" s="291"/>
      <c r="X19" s="31" t="s">
        <v>106</v>
      </c>
      <c r="Y19" s="31">
        <v>0.16505413449634954</v>
      </c>
      <c r="Z19" s="31">
        <v>7.063155124116241E-2</v>
      </c>
      <c r="AA19" s="31">
        <v>2.3368329251723963</v>
      </c>
      <c r="AB19" s="31">
        <v>6.6642186996387728E-2</v>
      </c>
      <c r="AC19" s="31">
        <v>-1.6510048146998191E-2</v>
      </c>
      <c r="AD19" s="31">
        <v>0.34661831713969726</v>
      </c>
      <c r="AE19" s="31">
        <v>-1.6510048146998191E-2</v>
      </c>
      <c r="AF19" s="31">
        <v>0.34661831713969726</v>
      </c>
    </row>
    <row r="20" spans="1:32" ht="15.75" thickBot="1" x14ac:dyDescent="0.3">
      <c r="H20" s="88" t="s">
        <v>82</v>
      </c>
      <c r="I20" s="117">
        <f>I17/I16</f>
        <v>0.58736036150974991</v>
      </c>
      <c r="K20" s="17" t="s">
        <v>48</v>
      </c>
      <c r="L20" s="38">
        <f>H14-1</f>
        <v>7</v>
      </c>
      <c r="M20" s="38">
        <f>I16</f>
        <v>3489.4087499999951</v>
      </c>
      <c r="N20" s="38">
        <f>M20/L20</f>
        <v>498.48696428571355</v>
      </c>
      <c r="O20" s="38"/>
      <c r="P20" s="39"/>
      <c r="R20" s="292"/>
      <c r="S20" s="293"/>
      <c r="T20" s="293"/>
      <c r="U20" s="293"/>
      <c r="V20" s="294"/>
    </row>
    <row r="21" spans="1:32" ht="15.75" thickBot="1" x14ac:dyDescent="0.3">
      <c r="H21" s="90" t="s">
        <v>83</v>
      </c>
      <c r="I21" s="118">
        <f>1-(N19/N20)</f>
        <v>0.42230450611364978</v>
      </c>
    </row>
    <row r="23" spans="1:32" ht="15.75" thickBot="1" x14ac:dyDescent="0.3"/>
    <row r="24" spans="1:32" ht="15" customHeight="1" x14ac:dyDescent="0.25">
      <c r="A24" s="286" t="s">
        <v>116</v>
      </c>
      <c r="B24" s="287"/>
      <c r="C24" s="287"/>
      <c r="D24" s="287"/>
      <c r="E24" s="287"/>
      <c r="F24" s="288"/>
    </row>
    <row r="25" spans="1:32" ht="15" customHeight="1" x14ac:dyDescent="0.25">
      <c r="A25" s="289"/>
      <c r="B25" s="290"/>
      <c r="C25" s="290"/>
      <c r="D25" s="290"/>
      <c r="E25" s="290"/>
      <c r="F25" s="291"/>
    </row>
    <row r="26" spans="1:32" ht="15" customHeight="1" x14ac:dyDescent="0.25">
      <c r="A26" s="289"/>
      <c r="B26" s="290"/>
      <c r="C26" s="290"/>
      <c r="D26" s="290"/>
      <c r="E26" s="290"/>
      <c r="F26" s="291"/>
    </row>
    <row r="27" spans="1:32" ht="15.75" customHeight="1" thickBot="1" x14ac:dyDescent="0.3">
      <c r="A27" s="292"/>
      <c r="B27" s="293"/>
      <c r="C27" s="293"/>
      <c r="D27" s="293"/>
      <c r="E27" s="293"/>
      <c r="F27" s="294"/>
    </row>
    <row r="28" spans="1:32" ht="15.75" x14ac:dyDescent="0.25">
      <c r="A28" s="107"/>
      <c r="B28" s="107"/>
      <c r="C28" s="107"/>
      <c r="D28" s="107"/>
      <c r="E28" s="106"/>
      <c r="F28" s="106"/>
    </row>
    <row r="38" spans="1:25" s="108" customFormat="1" x14ac:dyDescent="0.25"/>
    <row r="39" spans="1:25" ht="21" x14ac:dyDescent="0.35">
      <c r="A39" s="109" t="s">
        <v>114</v>
      </c>
      <c r="X39" s="18" t="s">
        <v>38</v>
      </c>
    </row>
    <row r="40" spans="1:25" ht="16.5" thickBot="1" x14ac:dyDescent="0.3">
      <c r="A40" s="93" t="s">
        <v>115</v>
      </c>
      <c r="B40" s="93"/>
      <c r="C40" s="93" t="s">
        <v>108</v>
      </c>
      <c r="D40" s="93" t="s">
        <v>106</v>
      </c>
      <c r="F40" s="115">
        <v>1</v>
      </c>
      <c r="G40" s="115">
        <v>1</v>
      </c>
      <c r="H40" s="115">
        <v>1</v>
      </c>
      <c r="I40" s="115">
        <v>1</v>
      </c>
      <c r="J40" s="115">
        <v>1</v>
      </c>
      <c r="K40" s="115">
        <v>1</v>
      </c>
      <c r="L40" s="115">
        <v>1</v>
      </c>
      <c r="M40" s="115">
        <v>1</v>
      </c>
    </row>
    <row r="41" spans="1:25" ht="15.75" x14ac:dyDescent="0.25">
      <c r="A41" s="95">
        <f>F2</f>
        <v>15.47911574179734</v>
      </c>
      <c r="B41" s="96">
        <v>1</v>
      </c>
      <c r="C41" s="97">
        <v>1170.5999999999999</v>
      </c>
      <c r="D41" s="97">
        <v>97.8</v>
      </c>
      <c r="F41" s="114">
        <v>1170.5999999999999</v>
      </c>
      <c r="G41" s="114">
        <v>1588</v>
      </c>
      <c r="H41" s="114">
        <v>1687.2</v>
      </c>
      <c r="I41" s="114">
        <v>1749.4</v>
      </c>
      <c r="J41" s="114">
        <v>1834.1</v>
      </c>
      <c r="K41" s="114">
        <v>2015.8</v>
      </c>
      <c r="L41" s="114">
        <v>2039.7</v>
      </c>
      <c r="M41" s="114">
        <v>2132.1999999999998</v>
      </c>
      <c r="X41" s="29" t="s">
        <v>39</v>
      </c>
      <c r="Y41" s="29"/>
    </row>
    <row r="42" spans="1:25" ht="15.75" x14ac:dyDescent="0.25">
      <c r="A42" s="95">
        <f t="shared" ref="A42:A48" si="1">F3</f>
        <v>58.114844144601719</v>
      </c>
      <c r="B42" s="96">
        <v>1</v>
      </c>
      <c r="C42" s="97">
        <v>1588</v>
      </c>
      <c r="D42" s="97">
        <v>287.8</v>
      </c>
      <c r="F42" s="114">
        <v>97.8</v>
      </c>
      <c r="G42" s="114">
        <v>287.8</v>
      </c>
      <c r="H42" s="114">
        <v>321.3</v>
      </c>
      <c r="I42" s="114">
        <v>319.89999999999998</v>
      </c>
      <c r="J42" s="114">
        <v>220.9</v>
      </c>
      <c r="K42" s="114">
        <v>104.4</v>
      </c>
      <c r="L42" s="114">
        <v>156.19999999999999</v>
      </c>
      <c r="M42" s="114">
        <v>186.6</v>
      </c>
      <c r="X42" s="30" t="s">
        <v>40</v>
      </c>
      <c r="Y42" s="30">
        <v>0.63215795970780952</v>
      </c>
    </row>
    <row r="43" spans="1:25" ht="15.75" x14ac:dyDescent="0.25">
      <c r="A43" s="95">
        <f t="shared" si="1"/>
        <v>188.30632620792773</v>
      </c>
      <c r="B43" s="96">
        <v>1</v>
      </c>
      <c r="C43" s="97">
        <v>1687.2</v>
      </c>
      <c r="D43" s="97">
        <v>321.3</v>
      </c>
      <c r="X43" s="30" t="s">
        <v>41</v>
      </c>
      <c r="Y43" s="30">
        <v>0.39962368602194054</v>
      </c>
    </row>
    <row r="44" spans="1:25" ht="15.75" x14ac:dyDescent="0.25">
      <c r="A44" s="95">
        <f t="shared" si="1"/>
        <v>6.6240431389142915E-2</v>
      </c>
      <c r="B44" s="96">
        <v>1</v>
      </c>
      <c r="C44" s="97">
        <v>1749.4</v>
      </c>
      <c r="D44" s="97">
        <v>319.89999999999998</v>
      </c>
      <c r="F44" s="94">
        <f t="array" ref="F44:H46">MMULT(F40:M42,B41:D48)</f>
        <v>8</v>
      </c>
      <c r="G44" s="94">
        <v>14217</v>
      </c>
      <c r="H44" s="94">
        <v>1694.9000000000003</v>
      </c>
      <c r="I44" s="98"/>
      <c r="J44" s="94">
        <f t="array" ref="J44:L46">MINVERSE(F44:H46)</f>
        <v>5.7694577277581516</v>
      </c>
      <c r="K44" s="94">
        <v>-2.7015922667185288E-3</v>
      </c>
      <c r="L44" s="94">
        <v>-3.9808393215693553E-3</v>
      </c>
      <c r="X44" s="30" t="s">
        <v>42</v>
      </c>
      <c r="Y44" s="30">
        <v>0.15947316043071674</v>
      </c>
    </row>
    <row r="45" spans="1:25" ht="15.75" x14ac:dyDescent="0.25">
      <c r="A45" s="95">
        <f t="shared" si="1"/>
        <v>13.529139905690736</v>
      </c>
      <c r="B45" s="96">
        <v>1</v>
      </c>
      <c r="C45" s="97">
        <v>1834.1</v>
      </c>
      <c r="D45" s="97">
        <v>220.9</v>
      </c>
      <c r="F45" s="94">
        <v>14217</v>
      </c>
      <c r="G45" s="94">
        <v>25933117.940000001</v>
      </c>
      <c r="H45" s="94">
        <v>3005313.37</v>
      </c>
      <c r="I45" s="98"/>
      <c r="J45" s="94">
        <v>-2.7015922667185301E-3</v>
      </c>
      <c r="K45" s="94">
        <v>1.4993700997907985E-6</v>
      </c>
      <c r="L45" s="94">
        <v>1.747556935644949E-7</v>
      </c>
      <c r="X45" s="30" t="s">
        <v>43</v>
      </c>
      <c r="Y45" s="30">
        <v>228.86993623799782</v>
      </c>
    </row>
    <row r="46" spans="1:25" ht="16.5" thickBot="1" x14ac:dyDescent="0.3">
      <c r="A46" s="95">
        <f t="shared" si="1"/>
        <v>85.595684312857941</v>
      </c>
      <c r="B46" s="96">
        <v>1</v>
      </c>
      <c r="C46" s="97">
        <v>2015.8</v>
      </c>
      <c r="D46" s="97">
        <v>104.4</v>
      </c>
      <c r="F46" s="94">
        <v>1694.9000000000003</v>
      </c>
      <c r="G46" s="94">
        <v>3005313.37</v>
      </c>
      <c r="H46" s="94">
        <v>416877.55</v>
      </c>
      <c r="I46" s="98"/>
      <c r="J46" s="94">
        <v>-3.9808393215693396E-3</v>
      </c>
      <c r="K46" s="94">
        <v>1.747556935644865E-7</v>
      </c>
      <c r="L46" s="94">
        <v>1.7323861512271173E-5</v>
      </c>
      <c r="X46" s="31" t="s">
        <v>44</v>
      </c>
      <c r="Y46" s="31">
        <v>8</v>
      </c>
    </row>
    <row r="47" spans="1:25" ht="16.5" thickBot="1" x14ac:dyDescent="0.3">
      <c r="A47" s="95">
        <f t="shared" si="1"/>
        <v>356.46054828795343</v>
      </c>
      <c r="B47" s="96">
        <v>1</v>
      </c>
      <c r="C47" s="97">
        <v>2039.7</v>
      </c>
      <c r="D47" s="97">
        <v>156.19999999999999</v>
      </c>
      <c r="F47" s="98"/>
      <c r="G47" s="98"/>
      <c r="H47" s="98"/>
      <c r="I47" s="98"/>
      <c r="J47" s="98"/>
      <c r="K47" s="98"/>
      <c r="L47" s="98"/>
    </row>
    <row r="48" spans="1:25" ht="16.5" thickBot="1" x14ac:dyDescent="0.3">
      <c r="A48" s="95">
        <f t="shared" si="1"/>
        <v>722.31646611235101</v>
      </c>
      <c r="B48" s="96">
        <v>1</v>
      </c>
      <c r="C48" s="97">
        <v>2132.1999999999998</v>
      </c>
      <c r="D48" s="97">
        <v>186.6</v>
      </c>
      <c r="F48" s="94">
        <f t="array" ref="F48:H50">MMULT(F40:M42,A41:A48)</f>
        <v>1439.868365144569</v>
      </c>
      <c r="G48" s="94">
        <v>1439.868365144569</v>
      </c>
      <c r="H48" s="94">
        <v>1439.868365144569</v>
      </c>
      <c r="I48" s="98"/>
      <c r="J48" s="99" t="s">
        <v>117</v>
      </c>
      <c r="K48" s="100">
        <f t="array" ref="K48:K50">MMULT(J44:L46,F48:H50)</f>
        <v>-627.08716048703968</v>
      </c>
      <c r="L48" s="98"/>
      <c r="X48" s="18" t="s">
        <v>45</v>
      </c>
    </row>
    <row r="49" spans="6:32" ht="15.75" x14ac:dyDescent="0.25">
      <c r="F49" s="94">
        <v>2892785.8653042428</v>
      </c>
      <c r="G49" s="94">
        <v>2892785.8653042428</v>
      </c>
      <c r="H49" s="94">
        <v>2892785.8653042428</v>
      </c>
      <c r="I49" s="98"/>
      <c r="J49" s="101" t="s">
        <v>118</v>
      </c>
      <c r="K49" s="102">
        <v>0.49655221466895705</v>
      </c>
      <c r="L49" s="98"/>
      <c r="X49" s="32"/>
      <c r="Y49" s="32" t="s">
        <v>50</v>
      </c>
      <c r="Z49" s="32" t="s">
        <v>51</v>
      </c>
      <c r="AA49" s="32" t="s">
        <v>52</v>
      </c>
      <c r="AB49" s="32" t="s">
        <v>53</v>
      </c>
      <c r="AC49" s="32" t="s">
        <v>54</v>
      </c>
    </row>
    <row r="50" spans="6:32" ht="16.5" thickBot="1" x14ac:dyDescent="0.3">
      <c r="F50" s="94">
        <v>281151.4892555452</v>
      </c>
      <c r="G50" s="94">
        <v>281151.4892555452</v>
      </c>
      <c r="H50" s="94">
        <v>281151.4892555452</v>
      </c>
      <c r="I50" s="98"/>
      <c r="J50" s="103" t="s">
        <v>119</v>
      </c>
      <c r="K50" s="104">
        <v>-0.35572434179461165</v>
      </c>
      <c r="L50" s="98"/>
      <c r="X50" s="30" t="s">
        <v>46</v>
      </c>
      <c r="Y50" s="30">
        <v>2</v>
      </c>
      <c r="Z50" s="30">
        <v>174331.22132824056</v>
      </c>
      <c r="AA50" s="30">
        <v>87165.610664120279</v>
      </c>
      <c r="AB50" s="30">
        <v>1.6640550131552354</v>
      </c>
      <c r="AC50" s="30">
        <v>0.27929224395257163</v>
      </c>
    </row>
    <row r="51" spans="6:32" ht="15.75" thickBot="1" x14ac:dyDescent="0.3">
      <c r="X51" s="30" t="s">
        <v>47</v>
      </c>
      <c r="Y51" s="30">
        <v>5</v>
      </c>
      <c r="Z51" s="30">
        <v>261907.23856792596</v>
      </c>
      <c r="AA51" s="30">
        <v>52381.447713585192</v>
      </c>
      <c r="AB51" s="30"/>
      <c r="AC51" s="30"/>
    </row>
    <row r="52" spans="6:32" ht="15.75" thickBot="1" x14ac:dyDescent="0.3">
      <c r="F52" s="86" t="s">
        <v>64</v>
      </c>
      <c r="G52" s="121" t="s">
        <v>65</v>
      </c>
      <c r="H52" s="116" t="s">
        <v>123</v>
      </c>
      <c r="I52" s="116" t="s">
        <v>74</v>
      </c>
      <c r="J52" s="122" t="s">
        <v>75</v>
      </c>
      <c r="K52" s="127"/>
      <c r="X52" s="31" t="s">
        <v>48</v>
      </c>
      <c r="Y52" s="31">
        <v>7</v>
      </c>
      <c r="Z52" s="31">
        <v>436238.45989616652</v>
      </c>
      <c r="AA52" s="31"/>
      <c r="AB52" s="31"/>
      <c r="AC52" s="31"/>
    </row>
    <row r="53" spans="6:32" ht="15.75" thickBot="1" x14ac:dyDescent="0.3">
      <c r="F53" s="123">
        <f>COUNT(A41:A48)</f>
        <v>8</v>
      </c>
      <c r="G53" s="124">
        <f>AVERAGE(A41:A48)</f>
        <v>179.98354564307112</v>
      </c>
      <c r="H53" s="125">
        <f>COUNTA(A41:A48)*AVERAGE(A41:A48)^2</f>
        <v>259152.61361801173</v>
      </c>
      <c r="I53" s="125">
        <f t="array" ref="I53">MMULT(TRANSPOSE(A41:A48),A41:A48)</f>
        <v>695391.07351417816</v>
      </c>
      <c r="J53" s="120">
        <f t="array" ref="J53">MMULT(TRANSPOSE(K48:K50),MMULT(F40:M42,A41:A48))</f>
        <v>433483.83494624955</v>
      </c>
    </row>
    <row r="54" spans="6:32" ht="15.75" thickBot="1" x14ac:dyDescent="0.3">
      <c r="X54" s="32"/>
      <c r="Y54" s="32" t="s">
        <v>55</v>
      </c>
      <c r="Z54" s="32" t="s">
        <v>43</v>
      </c>
      <c r="AA54" s="32" t="s">
        <v>56</v>
      </c>
      <c r="AB54" s="32" t="s">
        <v>57</v>
      </c>
      <c r="AC54" s="32" t="s">
        <v>58</v>
      </c>
      <c r="AD54" s="32" t="s">
        <v>59</v>
      </c>
      <c r="AE54" s="32" t="s">
        <v>60</v>
      </c>
      <c r="AF54" s="32" t="s">
        <v>61</v>
      </c>
    </row>
    <row r="55" spans="6:32" x14ac:dyDescent="0.25">
      <c r="F55" s="86" t="s">
        <v>78</v>
      </c>
      <c r="G55" s="87">
        <f>I53-F53*G53^2</f>
        <v>436238.45989616646</v>
      </c>
      <c r="I55" s="295" t="s">
        <v>66</v>
      </c>
      <c r="J55" s="296"/>
      <c r="K55" s="296"/>
      <c r="L55" s="296"/>
      <c r="M55" s="296"/>
      <c r="N55" s="91"/>
      <c r="X55" s="30" t="s">
        <v>49</v>
      </c>
      <c r="Y55" s="30">
        <v>-627.08716048704025</v>
      </c>
      <c r="Z55" s="30">
        <v>549.7386181653095</v>
      </c>
      <c r="AA55" s="30">
        <v>-1.140700579813499</v>
      </c>
      <c r="AB55" s="30">
        <v>0.30566847956269005</v>
      </c>
      <c r="AC55" s="30">
        <v>-2040.2352666905927</v>
      </c>
      <c r="AD55" s="30">
        <v>786.06094571651226</v>
      </c>
      <c r="AE55" s="30">
        <v>-2040.2352666905927</v>
      </c>
      <c r="AF55" s="30">
        <v>786.06094571651226</v>
      </c>
    </row>
    <row r="56" spans="6:32" x14ac:dyDescent="0.25">
      <c r="F56" s="88" t="s">
        <v>79</v>
      </c>
      <c r="G56" s="89">
        <f>J53-F53*G53^2</f>
        <v>174331.22132823782</v>
      </c>
      <c r="I56" s="88" t="s">
        <v>67</v>
      </c>
      <c r="J56" s="81" t="s">
        <v>68</v>
      </c>
      <c r="K56" s="81" t="s">
        <v>51</v>
      </c>
      <c r="L56" s="81" t="s">
        <v>69</v>
      </c>
      <c r="M56" s="81" t="s">
        <v>70</v>
      </c>
      <c r="N56" s="92" t="s">
        <v>91</v>
      </c>
      <c r="X56" s="30" t="s">
        <v>108</v>
      </c>
      <c r="Y56" s="30">
        <v>0.49655221466895844</v>
      </c>
      <c r="Z56" s="30">
        <v>0.28024841923819116</v>
      </c>
      <c r="AA56" s="30">
        <v>1.7718287796903665</v>
      </c>
      <c r="AB56" s="30">
        <v>0.13662536595745939</v>
      </c>
      <c r="AC56" s="30">
        <v>-0.22384928129052656</v>
      </c>
      <c r="AD56" s="30">
        <v>1.2169537106284434</v>
      </c>
      <c r="AE56" s="30">
        <v>-0.22384928129052656</v>
      </c>
      <c r="AF56" s="30">
        <v>1.2169537106284434</v>
      </c>
    </row>
    <row r="57" spans="6:32" ht="15.75" thickBot="1" x14ac:dyDescent="0.3">
      <c r="F57" s="88" t="s">
        <v>80</v>
      </c>
      <c r="G57" s="89">
        <f>I53-J53</f>
        <v>261907.23856792861</v>
      </c>
      <c r="I57" s="16" t="s">
        <v>46</v>
      </c>
      <c r="J57" s="36">
        <v>2</v>
      </c>
      <c r="K57" s="36">
        <f>G56</f>
        <v>174331.22132823782</v>
      </c>
      <c r="L57" s="36">
        <f>K57/J57</f>
        <v>87165.610664118911</v>
      </c>
      <c r="M57" s="36">
        <f>L57/L58</f>
        <v>1.6640550131551923</v>
      </c>
      <c r="N57" s="37">
        <f>_xlfn.F.INV(5%,J57,J58)</f>
        <v>5.1823112072844055E-2</v>
      </c>
      <c r="X57" s="31" t="s">
        <v>106</v>
      </c>
      <c r="Y57" s="31">
        <v>-0.35572434179461354</v>
      </c>
      <c r="Z57" s="31">
        <v>0.952601147386681</v>
      </c>
      <c r="AA57" s="31">
        <v>-0.37342422142833875</v>
      </c>
      <c r="AB57" s="31">
        <v>0.72414203654773057</v>
      </c>
      <c r="AC57" s="31">
        <v>-2.8044635478731279</v>
      </c>
      <c r="AD57" s="31">
        <v>2.093014864283901</v>
      </c>
      <c r="AE57" s="31">
        <v>-2.8044635478731279</v>
      </c>
      <c r="AF57" s="31">
        <v>2.093014864283901</v>
      </c>
    </row>
    <row r="58" spans="6:32" x14ac:dyDescent="0.25">
      <c r="F58" s="88" t="s">
        <v>81</v>
      </c>
      <c r="G58" s="89" t="b">
        <f>G56+G57=G55</f>
        <v>1</v>
      </c>
      <c r="I58" s="16" t="s">
        <v>71</v>
      </c>
      <c r="J58" s="36">
        <f>F53-(J57+1)</f>
        <v>5</v>
      </c>
      <c r="K58" s="36">
        <f>G57</f>
        <v>261907.23856792861</v>
      </c>
      <c r="L58" s="36">
        <f>K58/J58</f>
        <v>52381.447713585723</v>
      </c>
      <c r="M58" s="36"/>
      <c r="N58" s="59"/>
    </row>
    <row r="59" spans="6:32" ht="15.75" thickBot="1" x14ac:dyDescent="0.3">
      <c r="F59" s="88" t="s">
        <v>82</v>
      </c>
      <c r="G59" s="117">
        <f>G56/G55</f>
        <v>0.39962368602193432</v>
      </c>
      <c r="I59" s="17" t="s">
        <v>48</v>
      </c>
      <c r="J59" s="38">
        <f>F53-1</f>
        <v>7</v>
      </c>
      <c r="K59" s="38">
        <f>G55</f>
        <v>436238.45989616646</v>
      </c>
      <c r="L59" s="38">
        <f>K59/J59</f>
        <v>62319.779985166635</v>
      </c>
      <c r="M59" s="38"/>
      <c r="N59" s="39"/>
    </row>
    <row r="60" spans="6:32" ht="15.75" thickBot="1" x14ac:dyDescent="0.3">
      <c r="F60" s="90" t="s">
        <v>83</v>
      </c>
      <c r="G60" s="118">
        <f>1-(L58/L59)</f>
        <v>0.15947316043070814</v>
      </c>
    </row>
    <row r="61" spans="6:32" ht="15.75" thickBot="1" x14ac:dyDescent="0.3"/>
    <row r="62" spans="6:32" x14ac:dyDescent="0.25">
      <c r="F62" s="86" t="s">
        <v>74</v>
      </c>
      <c r="G62" s="87">
        <v>695391.07351417805</v>
      </c>
      <c r="I62" s="86" t="s">
        <v>122</v>
      </c>
      <c r="J62" s="87">
        <f>COUNTA(A41:A48)*G65</f>
        <v>3.1969894881754755</v>
      </c>
    </row>
    <row r="63" spans="6:32" ht="15.75" thickBot="1" x14ac:dyDescent="0.3">
      <c r="F63" s="119" t="s">
        <v>75</v>
      </c>
      <c r="G63" s="89">
        <v>433483.83494624955</v>
      </c>
      <c r="I63" s="126" t="s">
        <v>124</v>
      </c>
      <c r="J63" s="120">
        <f>CHIINV(5%,2)</f>
        <v>5.9914645471079817</v>
      </c>
    </row>
    <row r="64" spans="6:32" ht="15.75" thickBot="1" x14ac:dyDescent="0.3">
      <c r="F64" s="88" t="s">
        <v>123</v>
      </c>
      <c r="G64" s="89">
        <f>H53</f>
        <v>259152.61361801173</v>
      </c>
    </row>
    <row r="65" spans="1:32" ht="15.75" thickBot="1" x14ac:dyDescent="0.3">
      <c r="F65" s="90" t="s">
        <v>121</v>
      </c>
      <c r="G65" s="128">
        <f>(G63-G64)/(G62-G64)</f>
        <v>0.39962368602193443</v>
      </c>
      <c r="I65" s="286" t="s">
        <v>125</v>
      </c>
      <c r="J65" s="287"/>
      <c r="K65" s="288"/>
    </row>
    <row r="66" spans="1:32" ht="15.75" thickBot="1" x14ac:dyDescent="0.3">
      <c r="I66" s="292"/>
      <c r="J66" s="293"/>
      <c r="K66" s="294"/>
    </row>
    <row r="68" spans="1:32" s="108" customFormat="1" x14ac:dyDescent="0.25"/>
    <row r="69" spans="1:32" ht="21" x14ac:dyDescent="0.35">
      <c r="A69" s="109" t="s">
        <v>126</v>
      </c>
      <c r="X69" t="s">
        <v>38</v>
      </c>
      <c r="Y69"/>
      <c r="Z69"/>
      <c r="AA69"/>
      <c r="AB69"/>
      <c r="AC69"/>
      <c r="AD69"/>
      <c r="AE69"/>
      <c r="AF69"/>
    </row>
    <row r="70" spans="1:32" ht="16.5" thickBot="1" x14ac:dyDescent="0.3">
      <c r="A70" s="93" t="s">
        <v>112</v>
      </c>
      <c r="B70" s="93"/>
      <c r="C70" s="93" t="s">
        <v>108</v>
      </c>
      <c r="D70" s="93" t="s">
        <v>106</v>
      </c>
      <c r="E70" s="93" t="s">
        <v>127</v>
      </c>
      <c r="F70" s="93" t="s">
        <v>128</v>
      </c>
      <c r="G70" s="93" t="s">
        <v>129</v>
      </c>
      <c r="I70" s="133">
        <v>1</v>
      </c>
      <c r="J70" s="133">
        <v>1</v>
      </c>
      <c r="K70" s="133">
        <v>1</v>
      </c>
      <c r="L70" s="133">
        <v>1</v>
      </c>
      <c r="M70" s="133">
        <v>1</v>
      </c>
      <c r="N70" s="133">
        <v>1</v>
      </c>
      <c r="O70" s="133">
        <v>1</v>
      </c>
      <c r="P70" s="133">
        <v>1</v>
      </c>
      <c r="Q70" s="134"/>
      <c r="R70" s="134"/>
      <c r="S70" s="134"/>
      <c r="T70" s="134"/>
      <c r="U70" s="134"/>
      <c r="V70" s="134"/>
      <c r="X70"/>
      <c r="Y70"/>
      <c r="Z70"/>
      <c r="AA70"/>
      <c r="AB70"/>
      <c r="AC70"/>
      <c r="AD70"/>
      <c r="AE70"/>
      <c r="AF70"/>
    </row>
    <row r="71" spans="1:32" ht="15.75" x14ac:dyDescent="0.25">
      <c r="A71" s="97">
        <f t="shared" ref="A71:A78" si="2">F2</f>
        <v>15.47911574179734</v>
      </c>
      <c r="B71" s="129">
        <v>1</v>
      </c>
      <c r="C71" s="97">
        <f t="shared" ref="C71:D78" si="3">C2</f>
        <v>1170.5999999999999</v>
      </c>
      <c r="D71" s="97">
        <f t="shared" si="3"/>
        <v>97.8</v>
      </c>
      <c r="E71" s="97">
        <f>C71^2</f>
        <v>1370304.3599999999</v>
      </c>
      <c r="F71" s="97">
        <f>D71^2</f>
        <v>9564.84</v>
      </c>
      <c r="G71" s="97">
        <f>E71*F71</f>
        <v>13106741954.702398</v>
      </c>
      <c r="I71" s="135">
        <v>1170.5999999999999</v>
      </c>
      <c r="J71" s="135">
        <v>1588</v>
      </c>
      <c r="K71" s="135">
        <v>1687.2</v>
      </c>
      <c r="L71" s="135">
        <v>1749.4</v>
      </c>
      <c r="M71" s="135">
        <v>1834.1</v>
      </c>
      <c r="N71" s="135">
        <v>2015.8</v>
      </c>
      <c r="O71" s="135">
        <v>2039.7</v>
      </c>
      <c r="P71" s="135">
        <v>2132.1999999999998</v>
      </c>
      <c r="Q71" s="134"/>
      <c r="R71" s="134"/>
      <c r="S71" s="134"/>
      <c r="T71" s="134"/>
      <c r="U71" s="134"/>
      <c r="V71" s="134"/>
      <c r="X71" s="15" t="s">
        <v>39</v>
      </c>
      <c r="Y71" s="15"/>
      <c r="Z71"/>
      <c r="AA71"/>
      <c r="AB71"/>
      <c r="AC71"/>
      <c r="AD71"/>
      <c r="AE71"/>
      <c r="AF71"/>
    </row>
    <row r="72" spans="1:32" ht="15.75" x14ac:dyDescent="0.25">
      <c r="A72" s="97">
        <f t="shared" si="2"/>
        <v>58.114844144601719</v>
      </c>
      <c r="B72" s="129">
        <v>1</v>
      </c>
      <c r="C72" s="97">
        <f t="shared" si="3"/>
        <v>1588</v>
      </c>
      <c r="D72" s="97">
        <f t="shared" si="3"/>
        <v>287.8</v>
      </c>
      <c r="E72" s="97">
        <f t="shared" ref="E72:E78" si="4">C72^2</f>
        <v>2521744</v>
      </c>
      <c r="F72" s="97">
        <f t="shared" ref="F72:F78" si="5">D72^2</f>
        <v>82828.840000000011</v>
      </c>
      <c r="G72" s="97">
        <f t="shared" ref="G72:G78" si="6">E72*F72</f>
        <v>208873130296.96002</v>
      </c>
      <c r="I72" s="133">
        <v>97.8</v>
      </c>
      <c r="J72" s="133">
        <v>287.8</v>
      </c>
      <c r="K72" s="133">
        <v>321.3</v>
      </c>
      <c r="L72" s="133">
        <v>319.89999999999998</v>
      </c>
      <c r="M72" s="133">
        <v>220.9</v>
      </c>
      <c r="N72" s="133">
        <v>104.4</v>
      </c>
      <c r="O72" s="133">
        <v>156.19999999999999</v>
      </c>
      <c r="P72" s="133">
        <v>186.6</v>
      </c>
      <c r="Q72" s="134"/>
      <c r="R72" s="134"/>
      <c r="S72" s="134"/>
      <c r="T72" s="134"/>
      <c r="U72" s="134"/>
      <c r="V72" s="134"/>
      <c r="X72" s="12" t="s">
        <v>40</v>
      </c>
      <c r="Y72" s="12">
        <v>0.98056265607690174</v>
      </c>
      <c r="Z72"/>
      <c r="AA72"/>
      <c r="AB72"/>
      <c r="AC72"/>
      <c r="AD72"/>
      <c r="AE72"/>
      <c r="AF72"/>
    </row>
    <row r="73" spans="1:32" ht="15.75" x14ac:dyDescent="0.25">
      <c r="A73" s="97">
        <f t="shared" si="2"/>
        <v>188.30632620792773</v>
      </c>
      <c r="B73" s="129">
        <v>1</v>
      </c>
      <c r="C73" s="97">
        <f t="shared" si="3"/>
        <v>1687.2</v>
      </c>
      <c r="D73" s="97">
        <f t="shared" si="3"/>
        <v>321.3</v>
      </c>
      <c r="E73" s="97">
        <f t="shared" si="4"/>
        <v>2846643.8400000003</v>
      </c>
      <c r="F73" s="97">
        <f t="shared" si="5"/>
        <v>103233.69</v>
      </c>
      <c r="G73" s="97">
        <f t="shared" si="6"/>
        <v>293869547718.96967</v>
      </c>
      <c r="I73" s="135">
        <v>1370304.3599999999</v>
      </c>
      <c r="J73" s="135">
        <v>2521744</v>
      </c>
      <c r="K73" s="135">
        <v>2846643.8400000003</v>
      </c>
      <c r="L73" s="135">
        <v>3060400.3600000003</v>
      </c>
      <c r="M73" s="135">
        <v>3363922.8099999996</v>
      </c>
      <c r="N73" s="135">
        <v>4063449.6399999997</v>
      </c>
      <c r="O73" s="135">
        <v>4160376.0900000003</v>
      </c>
      <c r="P73" s="135">
        <v>4546276.8399999989</v>
      </c>
      <c r="Q73" s="134"/>
      <c r="R73" s="134"/>
      <c r="S73" s="134"/>
      <c r="T73" s="134"/>
      <c r="U73" s="134"/>
      <c r="V73" s="134"/>
      <c r="X73" s="12" t="s">
        <v>41</v>
      </c>
      <c r="Y73" s="12">
        <v>0.96150312249258829</v>
      </c>
      <c r="Z73"/>
      <c r="AA73"/>
      <c r="AB73"/>
      <c r="AC73"/>
      <c r="AD73"/>
      <c r="AE73"/>
      <c r="AF73"/>
    </row>
    <row r="74" spans="1:32" ht="15.75" x14ac:dyDescent="0.25">
      <c r="A74" s="97">
        <f t="shared" si="2"/>
        <v>6.6240431389142915E-2</v>
      </c>
      <c r="B74" s="129">
        <v>1</v>
      </c>
      <c r="C74" s="97">
        <f t="shared" si="3"/>
        <v>1749.4</v>
      </c>
      <c r="D74" s="97">
        <f t="shared" si="3"/>
        <v>319.89999999999998</v>
      </c>
      <c r="E74" s="97">
        <f t="shared" si="4"/>
        <v>3060400.3600000003</v>
      </c>
      <c r="F74" s="97">
        <f t="shared" si="5"/>
        <v>102336.00999999998</v>
      </c>
      <c r="G74" s="97">
        <f t="shared" si="6"/>
        <v>313189161844.96356</v>
      </c>
      <c r="I74" s="133">
        <v>9564.84</v>
      </c>
      <c r="J74" s="133">
        <v>82828.840000000011</v>
      </c>
      <c r="K74" s="133">
        <v>103233.69</v>
      </c>
      <c r="L74" s="133">
        <v>102336.00999999998</v>
      </c>
      <c r="M74" s="133">
        <v>48796.810000000005</v>
      </c>
      <c r="N74" s="133">
        <v>10899.36</v>
      </c>
      <c r="O74" s="133">
        <v>24398.439999999995</v>
      </c>
      <c r="P74" s="133">
        <v>34819.56</v>
      </c>
      <c r="Q74" s="134"/>
      <c r="R74" s="134"/>
      <c r="S74" s="134"/>
      <c r="T74" s="134"/>
      <c r="U74" s="134"/>
      <c r="V74" s="134"/>
      <c r="X74" s="12" t="s">
        <v>42</v>
      </c>
      <c r="Y74" s="12">
        <v>0.86526092872405913</v>
      </c>
      <c r="Z74"/>
      <c r="AA74"/>
      <c r="AB74"/>
      <c r="AC74"/>
      <c r="AD74"/>
      <c r="AE74"/>
      <c r="AF74"/>
    </row>
    <row r="75" spans="1:32" ht="15.75" x14ac:dyDescent="0.25">
      <c r="A75" s="97">
        <f t="shared" si="2"/>
        <v>13.529139905690736</v>
      </c>
      <c r="B75" s="129">
        <v>1</v>
      </c>
      <c r="C75" s="97">
        <f t="shared" si="3"/>
        <v>1834.1</v>
      </c>
      <c r="D75" s="97">
        <f t="shared" si="3"/>
        <v>220.9</v>
      </c>
      <c r="E75" s="97">
        <f t="shared" si="4"/>
        <v>3363922.8099999996</v>
      </c>
      <c r="F75" s="97">
        <f t="shared" si="5"/>
        <v>48796.810000000005</v>
      </c>
      <c r="G75" s="97">
        <f t="shared" si="6"/>
        <v>164148702214.23608</v>
      </c>
      <c r="I75" s="135">
        <v>13106741954.702398</v>
      </c>
      <c r="J75" s="135">
        <v>208873130296.96002</v>
      </c>
      <c r="K75" s="135">
        <v>293869547718.96967</v>
      </c>
      <c r="L75" s="135">
        <v>313189161844.96356</v>
      </c>
      <c r="M75" s="135">
        <v>164148702214.23608</v>
      </c>
      <c r="N75" s="135">
        <v>44289000468.2304</v>
      </c>
      <c r="O75" s="135">
        <v>101506686409.29959</v>
      </c>
      <c r="P75" s="135">
        <v>158299359206.99036</v>
      </c>
      <c r="Q75" s="134"/>
      <c r="R75" s="134"/>
      <c r="S75" s="134"/>
      <c r="T75" s="134"/>
      <c r="U75" s="134"/>
      <c r="V75" s="134"/>
      <c r="X75" s="12" t="s">
        <v>43</v>
      </c>
      <c r="Y75" s="12">
        <v>91.634651073283024</v>
      </c>
      <c r="Z75"/>
      <c r="AA75"/>
      <c r="AB75"/>
      <c r="AC75"/>
      <c r="AD75"/>
      <c r="AE75"/>
      <c r="AF75"/>
    </row>
    <row r="76" spans="1:32" ht="16.5" thickBot="1" x14ac:dyDescent="0.3">
      <c r="A76" s="97">
        <f t="shared" si="2"/>
        <v>85.595684312857941</v>
      </c>
      <c r="B76" s="129">
        <v>1</v>
      </c>
      <c r="C76" s="97">
        <f t="shared" si="3"/>
        <v>2015.8</v>
      </c>
      <c r="D76" s="97">
        <f t="shared" si="3"/>
        <v>104.4</v>
      </c>
      <c r="E76" s="97">
        <f t="shared" si="4"/>
        <v>4063449.6399999997</v>
      </c>
      <c r="F76" s="97">
        <f t="shared" si="5"/>
        <v>10899.36</v>
      </c>
      <c r="G76" s="97">
        <f t="shared" si="6"/>
        <v>44289000468.2304</v>
      </c>
      <c r="I76" s="134"/>
      <c r="J76" s="134"/>
      <c r="K76" s="134"/>
      <c r="L76" s="134"/>
      <c r="M76" s="134"/>
      <c r="N76" s="134"/>
      <c r="O76" s="134"/>
      <c r="P76" s="134"/>
      <c r="Q76" s="134"/>
      <c r="R76" s="134"/>
      <c r="S76" s="134"/>
      <c r="T76" s="134"/>
      <c r="U76" s="134"/>
      <c r="V76" s="134"/>
      <c r="X76" s="13" t="s">
        <v>44</v>
      </c>
      <c r="Y76" s="13">
        <v>8</v>
      </c>
      <c r="Z76"/>
      <c r="AA76"/>
      <c r="AB76"/>
      <c r="AC76"/>
      <c r="AD76"/>
      <c r="AE76"/>
      <c r="AF76"/>
    </row>
    <row r="77" spans="1:32" ht="15.75" x14ac:dyDescent="0.25">
      <c r="A77" s="97">
        <f t="shared" si="2"/>
        <v>356.46054828795343</v>
      </c>
      <c r="B77" s="129">
        <v>1</v>
      </c>
      <c r="C77" s="97">
        <f t="shared" si="3"/>
        <v>2039.7</v>
      </c>
      <c r="D77" s="97">
        <f t="shared" si="3"/>
        <v>156.19999999999999</v>
      </c>
      <c r="E77" s="97">
        <f t="shared" si="4"/>
        <v>4160376.0900000003</v>
      </c>
      <c r="F77" s="97">
        <f t="shared" si="5"/>
        <v>24398.439999999995</v>
      </c>
      <c r="G77" s="97">
        <f t="shared" si="6"/>
        <v>101506686409.29959</v>
      </c>
      <c r="I77" s="133">
        <f t="array" ref="I77:N82">MMULT(I70:P75,B71:G78)</f>
        <v>8</v>
      </c>
      <c r="J77" s="133">
        <v>14217</v>
      </c>
      <c r="K77" s="133">
        <v>1694.9000000000003</v>
      </c>
      <c r="L77" s="133">
        <v>25933117.940000001</v>
      </c>
      <c r="M77" s="133">
        <v>416877.55</v>
      </c>
      <c r="N77" s="133">
        <v>1297282330114.3521</v>
      </c>
      <c r="O77" s="134"/>
      <c r="P77" s="133">
        <f t="array" ref="P77:U82">MINVERSE(I77:N82)</f>
        <v>442.70884495904573</v>
      </c>
      <c r="Q77" s="133">
        <v>-0.61129229149715358</v>
      </c>
      <c r="R77" s="133">
        <v>8.3562834120347401E-2</v>
      </c>
      <c r="S77" s="133">
        <v>1.9181743264349755E-4</v>
      </c>
      <c r="T77" s="133">
        <v>1.2091245124810452E-3</v>
      </c>
      <c r="U77" s="133">
        <v>-3.6232657779771661E-10</v>
      </c>
      <c r="V77" s="134"/>
      <c r="X77"/>
      <c r="Y77"/>
      <c r="Z77"/>
      <c r="AA77"/>
      <c r="AB77"/>
      <c r="AC77"/>
      <c r="AD77"/>
      <c r="AE77"/>
      <c r="AF77"/>
    </row>
    <row r="78" spans="1:32" ht="16.5" thickBot="1" x14ac:dyDescent="0.3">
      <c r="A78" s="97">
        <f t="shared" si="2"/>
        <v>722.31646611235101</v>
      </c>
      <c r="B78" s="129">
        <v>1</v>
      </c>
      <c r="C78" s="97">
        <f t="shared" si="3"/>
        <v>2132.1999999999998</v>
      </c>
      <c r="D78" s="97">
        <f t="shared" si="3"/>
        <v>186.6</v>
      </c>
      <c r="E78" s="97">
        <f t="shared" si="4"/>
        <v>4546276.8399999989</v>
      </c>
      <c r="F78" s="97">
        <f t="shared" si="5"/>
        <v>34819.56</v>
      </c>
      <c r="G78" s="97">
        <f t="shared" si="6"/>
        <v>158299359206.99036</v>
      </c>
      <c r="I78" s="135">
        <v>14217</v>
      </c>
      <c r="J78" s="135">
        <v>25933117.940000001</v>
      </c>
      <c r="K78" s="135">
        <v>3005313.37</v>
      </c>
      <c r="L78" s="135">
        <v>48305692831.602005</v>
      </c>
      <c r="M78" s="135">
        <v>731408220.29499996</v>
      </c>
      <c r="N78" s="135">
        <v>2325655087531954.5</v>
      </c>
      <c r="O78" s="134"/>
      <c r="P78" s="135">
        <v>-0.6112922914971759</v>
      </c>
      <c r="Q78" s="135">
        <v>8.6636111487373006E-4</v>
      </c>
      <c r="R78" s="135">
        <v>-2.6063911527295753E-4</v>
      </c>
      <c r="S78" s="135">
        <v>-2.7300252235237689E-7</v>
      </c>
      <c r="T78" s="135">
        <v>-1.578025585893647E-6</v>
      </c>
      <c r="U78" s="135">
        <v>5.8020496463072096E-13</v>
      </c>
      <c r="V78" s="134"/>
      <c r="X78" t="s">
        <v>45</v>
      </c>
      <c r="Y78"/>
      <c r="Z78"/>
      <c r="AA78"/>
      <c r="AB78"/>
      <c r="AC78"/>
      <c r="AD78"/>
      <c r="AE78"/>
      <c r="AF78"/>
    </row>
    <row r="79" spans="1:32" x14ac:dyDescent="0.25">
      <c r="I79" s="133">
        <v>1694.9000000000003</v>
      </c>
      <c r="J79" s="133">
        <v>3005313.37</v>
      </c>
      <c r="K79" s="133">
        <v>416877.55</v>
      </c>
      <c r="L79" s="133">
        <v>5418923125.3109999</v>
      </c>
      <c r="M79" s="133">
        <v>112905330.43699998</v>
      </c>
      <c r="N79" s="133">
        <v>342283249632108.75</v>
      </c>
      <c r="O79" s="134"/>
      <c r="P79" s="133">
        <v>8.3562834120606014E-2</v>
      </c>
      <c r="Q79" s="133">
        <v>-2.6063911527331239E-4</v>
      </c>
      <c r="R79" s="133">
        <v>1.4083394110053064E-3</v>
      </c>
      <c r="S79" s="133">
        <v>7.7166195640568531E-8</v>
      </c>
      <c r="T79" s="133">
        <v>-2.0918167898929877E-6</v>
      </c>
      <c r="U79" s="133">
        <v>-3.693254905455715E-13</v>
      </c>
      <c r="V79" s="134"/>
      <c r="X79" s="14"/>
      <c r="Y79" s="14" t="s">
        <v>50</v>
      </c>
      <c r="Z79" s="14" t="s">
        <v>51</v>
      </c>
      <c r="AA79" s="14" t="s">
        <v>52</v>
      </c>
      <c r="AB79" s="14" t="s">
        <v>53</v>
      </c>
      <c r="AC79" s="14" t="s">
        <v>54</v>
      </c>
      <c r="AD79"/>
      <c r="AE79"/>
      <c r="AF79"/>
    </row>
    <row r="80" spans="1:32" x14ac:dyDescent="0.25">
      <c r="I80" s="135">
        <v>25933117.940000001</v>
      </c>
      <c r="J80" s="135">
        <v>48305692831.602005</v>
      </c>
      <c r="K80" s="135">
        <v>5418923125.3109999</v>
      </c>
      <c r="L80" s="135">
        <v>91511320320487.562</v>
      </c>
      <c r="M80" s="135">
        <v>1297282330114.3521</v>
      </c>
      <c r="N80" s="135">
        <v>4.2138393384506322E+18</v>
      </c>
      <c r="O80" s="134"/>
      <c r="P80" s="135">
        <v>1.9181743264350248E-4</v>
      </c>
      <c r="Q80" s="135">
        <v>-2.7300252235237403E-7</v>
      </c>
      <c r="R80" s="135">
        <v>7.7166195640456352E-8</v>
      </c>
      <c r="S80" s="135">
        <v>8.6464859829873988E-11</v>
      </c>
      <c r="T80" s="135">
        <v>5.4403410067374491E-10</v>
      </c>
      <c r="U80" s="135">
        <v>-1.9513916949136909E-16</v>
      </c>
      <c r="V80" s="134"/>
      <c r="X80" s="12" t="s">
        <v>46</v>
      </c>
      <c r="Y80" s="12">
        <v>5</v>
      </c>
      <c r="Z80" s="12">
        <v>419444.64134152187</v>
      </c>
      <c r="AA80" s="12">
        <v>83888.928268304371</v>
      </c>
      <c r="AB80" s="12">
        <v>9.9904530938382976</v>
      </c>
      <c r="AC80" s="12">
        <v>9.3481341593808553E-2</v>
      </c>
      <c r="AD80"/>
      <c r="AE80"/>
      <c r="AF80"/>
    </row>
    <row r="81" spans="1:32" x14ac:dyDescent="0.25">
      <c r="I81" s="133">
        <v>416877.55</v>
      </c>
      <c r="J81" s="133">
        <v>731408220.29499996</v>
      </c>
      <c r="K81" s="133">
        <v>112905330.43699998</v>
      </c>
      <c r="L81" s="133">
        <v>1297282330114.3521</v>
      </c>
      <c r="M81" s="133">
        <v>32389566941.320301</v>
      </c>
      <c r="N81" s="133">
        <v>9.6295023595165744E+16</v>
      </c>
      <c r="O81" s="134"/>
      <c r="P81" s="133">
        <v>1.2091245124804897E-3</v>
      </c>
      <c r="Q81" s="133">
        <v>-1.5780255858928116E-6</v>
      </c>
      <c r="R81" s="133">
        <v>-2.0918167898938462E-6</v>
      </c>
      <c r="S81" s="133">
        <v>5.4403410067348787E-10</v>
      </c>
      <c r="T81" s="133">
        <v>1.2680165018518747E-8</v>
      </c>
      <c r="U81" s="133">
        <v>-2.3798695311033705E-15</v>
      </c>
      <c r="V81" s="134"/>
      <c r="X81" s="12" t="s">
        <v>47</v>
      </c>
      <c r="Y81" s="12">
        <v>2</v>
      </c>
      <c r="Z81" s="12">
        <v>16793.818554644658</v>
      </c>
      <c r="AA81" s="12">
        <v>8396.9092773223292</v>
      </c>
      <c r="AB81" s="12"/>
      <c r="AC81" s="12"/>
      <c r="AD81"/>
      <c r="AE81"/>
      <c r="AF81"/>
    </row>
    <row r="82" spans="1:32" ht="15.75" thickBot="1" x14ac:dyDescent="0.3">
      <c r="I82" s="135">
        <v>1297282330114.3521</v>
      </c>
      <c r="J82" s="135">
        <v>2325655087531954.5</v>
      </c>
      <c r="K82" s="135">
        <v>342283249632108.75</v>
      </c>
      <c r="L82" s="135">
        <v>4.2138393384506322E+18</v>
      </c>
      <c r="M82" s="135">
        <v>9.6295023595165744E+16</v>
      </c>
      <c r="N82" s="135">
        <v>2.9251513993065314E+23</v>
      </c>
      <c r="O82" s="134"/>
      <c r="P82" s="135">
        <v>-3.6232657779773041E-10</v>
      </c>
      <c r="Q82" s="135">
        <v>5.8020496463072086E-13</v>
      </c>
      <c r="R82" s="135">
        <v>-3.6932549054534698E-13</v>
      </c>
      <c r="S82" s="135">
        <v>-1.9513916949137092E-16</v>
      </c>
      <c r="T82" s="135">
        <v>-2.3798695311038991E-15</v>
      </c>
      <c r="U82" s="135">
        <v>1.0240559513476956E-21</v>
      </c>
      <c r="V82" s="134"/>
      <c r="X82" s="13" t="s">
        <v>48</v>
      </c>
      <c r="Y82" s="13">
        <v>7</v>
      </c>
      <c r="Z82" s="13">
        <v>436238.45989616652</v>
      </c>
      <c r="AA82" s="13"/>
      <c r="AB82" s="13"/>
      <c r="AC82" s="13"/>
      <c r="AD82"/>
      <c r="AE82"/>
      <c r="AF82"/>
    </row>
    <row r="83" spans="1:32" ht="15.75" thickBot="1" x14ac:dyDescent="0.3">
      <c r="I83" s="134"/>
      <c r="J83" s="134"/>
      <c r="K83" s="134"/>
      <c r="L83" s="134"/>
      <c r="M83" s="134"/>
      <c r="N83" s="134"/>
      <c r="O83" s="134"/>
      <c r="P83" s="134"/>
      <c r="Q83" s="134"/>
      <c r="R83" s="134"/>
      <c r="S83" s="134"/>
      <c r="T83" s="134"/>
      <c r="U83" s="134"/>
      <c r="V83" s="134"/>
      <c r="X83"/>
      <c r="Y83"/>
      <c r="Z83"/>
      <c r="AA83"/>
      <c r="AB83"/>
      <c r="AC83"/>
      <c r="AD83"/>
      <c r="AE83"/>
      <c r="AF83"/>
    </row>
    <row r="84" spans="1:32" ht="15.75" thickBot="1" x14ac:dyDescent="0.3">
      <c r="I84" s="133">
        <f t="array" ref="I84:N89">MMULT(I70:P75,A71:A78)</f>
        <v>1439.868365144569</v>
      </c>
      <c r="J84" s="133">
        <v>1439.868365144569</v>
      </c>
      <c r="K84" s="133">
        <v>1439.868365144569</v>
      </c>
      <c r="L84" s="133">
        <v>1439.868365144569</v>
      </c>
      <c r="M84" s="133">
        <v>1439.868365144569</v>
      </c>
      <c r="N84" s="133">
        <v>1439.868365144569</v>
      </c>
      <c r="O84" s="134"/>
      <c r="P84" s="99" t="s">
        <v>37</v>
      </c>
      <c r="Q84" s="136">
        <f t="array" ref="Q84:Q89">MMULT(P77:U82,I84:N89)</f>
        <v>8570.4433012748341</v>
      </c>
      <c r="R84" s="134"/>
      <c r="S84" s="134"/>
      <c r="T84" s="134"/>
      <c r="U84" s="134"/>
      <c r="V84" s="134"/>
      <c r="X84" s="14"/>
      <c r="Y84" s="14" t="s">
        <v>55</v>
      </c>
      <c r="Z84" s="14" t="s">
        <v>43</v>
      </c>
      <c r="AA84" s="14" t="s">
        <v>56</v>
      </c>
      <c r="AB84" s="14" t="s">
        <v>57</v>
      </c>
      <c r="AC84" s="14" t="s">
        <v>58</v>
      </c>
      <c r="AD84" s="14" t="s">
        <v>59</v>
      </c>
      <c r="AE84" s="14" t="s">
        <v>60</v>
      </c>
      <c r="AF84" s="14" t="s">
        <v>61</v>
      </c>
    </row>
    <row r="85" spans="1:32" x14ac:dyDescent="0.25">
      <c r="A85" s="297" t="s">
        <v>134</v>
      </c>
      <c r="B85" s="298"/>
      <c r="C85" s="298"/>
      <c r="D85" s="298"/>
      <c r="E85" s="298"/>
      <c r="F85" s="299"/>
      <c r="I85" s="135">
        <v>2892785.8653042428</v>
      </c>
      <c r="J85" s="135">
        <v>2892785.8653042428</v>
      </c>
      <c r="K85" s="135">
        <v>2892785.8653042428</v>
      </c>
      <c r="L85" s="135">
        <v>2892785.8653042428</v>
      </c>
      <c r="M85" s="135">
        <v>2892785.8653042428</v>
      </c>
      <c r="N85" s="135">
        <v>2892785.8653042428</v>
      </c>
      <c r="O85" s="134"/>
      <c r="P85" s="101" t="s">
        <v>87</v>
      </c>
      <c r="Q85" s="137">
        <v>-12.541020048707281</v>
      </c>
      <c r="R85" s="134"/>
      <c r="S85" s="134"/>
      <c r="T85" s="134"/>
      <c r="U85" s="134"/>
      <c r="V85" s="134"/>
      <c r="X85" s="12" t="s">
        <v>49</v>
      </c>
      <c r="Y85" s="12">
        <v>8570.4433012501122</v>
      </c>
      <c r="Z85" s="12">
        <v>1928.0523870940644</v>
      </c>
      <c r="AA85" s="12">
        <v>4.4451298930561594</v>
      </c>
      <c r="AB85" s="12">
        <v>4.7065180304023228E-2</v>
      </c>
      <c r="AC85" s="12">
        <v>274.70343481986674</v>
      </c>
      <c r="AD85" s="12">
        <v>16866.183167680356</v>
      </c>
      <c r="AE85" s="12">
        <v>274.70343481986674</v>
      </c>
      <c r="AF85" s="12">
        <v>16866.183167680356</v>
      </c>
    </row>
    <row r="86" spans="1:32" ht="15.75" thickBot="1" x14ac:dyDescent="0.3">
      <c r="A86" s="300"/>
      <c r="B86" s="301"/>
      <c r="C86" s="301"/>
      <c r="D86" s="301"/>
      <c r="E86" s="301"/>
      <c r="F86" s="302"/>
      <c r="I86" s="133">
        <v>281151.4892555452</v>
      </c>
      <c r="J86" s="133">
        <v>281151.4892555452</v>
      </c>
      <c r="K86" s="133">
        <v>281151.4892555452</v>
      </c>
      <c r="L86" s="133">
        <v>281151.4892555452</v>
      </c>
      <c r="M86" s="133">
        <v>281151.4892555452</v>
      </c>
      <c r="N86" s="133">
        <v>281151.4892555452</v>
      </c>
      <c r="O86" s="134"/>
      <c r="P86" s="101" t="s">
        <v>88</v>
      </c>
      <c r="Q86" s="137">
        <v>6.8110070439380195</v>
      </c>
      <c r="R86" s="134"/>
      <c r="S86" s="134"/>
      <c r="T86" s="134"/>
      <c r="U86" s="134"/>
      <c r="V86" s="134"/>
      <c r="X86" s="12" t="s">
        <v>108</v>
      </c>
      <c r="Y86" s="12">
        <v>-12.541020048672504</v>
      </c>
      <c r="Z86" s="12">
        <v>2.6971755009591774</v>
      </c>
      <c r="AA86" s="12">
        <v>-4.6496863271272595</v>
      </c>
      <c r="AB86" s="12">
        <v>4.327407278744734E-2</v>
      </c>
      <c r="AC86" s="12">
        <v>-24.146029580487884</v>
      </c>
      <c r="AD86" s="12">
        <v>-0.936010516857122</v>
      </c>
      <c r="AE86" s="12">
        <v>-24.146029580487884</v>
      </c>
      <c r="AF86" s="12">
        <v>-0.936010516857122</v>
      </c>
    </row>
    <row r="87" spans="1:32" x14ac:dyDescent="0.25">
      <c r="I87" s="135">
        <v>5864190923.1931992</v>
      </c>
      <c r="J87" s="135">
        <v>5864190923.1931992</v>
      </c>
      <c r="K87" s="135">
        <v>5864190923.1931992</v>
      </c>
      <c r="L87" s="135">
        <v>5864190923.1931992</v>
      </c>
      <c r="M87" s="135">
        <v>5864190923.1931992</v>
      </c>
      <c r="N87" s="135">
        <v>5864190923.1931992</v>
      </c>
      <c r="O87" s="134"/>
      <c r="P87" s="101" t="s">
        <v>130</v>
      </c>
      <c r="Q87" s="137">
        <v>3.9983104518986762E-3</v>
      </c>
      <c r="R87" s="134"/>
      <c r="S87" s="134"/>
      <c r="T87" s="134"/>
      <c r="U87" s="134"/>
      <c r="V87" s="134"/>
      <c r="X87" s="12" t="s">
        <v>106</v>
      </c>
      <c r="Y87" s="12">
        <v>6.8110070439282167</v>
      </c>
      <c r="Z87" s="12">
        <v>3.4388513003456374</v>
      </c>
      <c r="AA87" s="12">
        <v>1.9806052803864027</v>
      </c>
      <c r="AB87" s="12">
        <v>0.18616849438943417</v>
      </c>
      <c r="AC87" s="12">
        <v>-7.9851758907064321</v>
      </c>
      <c r="AD87" s="12">
        <v>21.607189978562864</v>
      </c>
      <c r="AE87" s="12">
        <v>-7.9851758907064321</v>
      </c>
      <c r="AF87" s="12">
        <v>21.607189978562864</v>
      </c>
    </row>
    <row r="88" spans="1:32" x14ac:dyDescent="0.25">
      <c r="I88" s="133">
        <v>59848915.956698358</v>
      </c>
      <c r="J88" s="133">
        <v>59848915.956698358</v>
      </c>
      <c r="K88" s="133">
        <v>59848915.956698358</v>
      </c>
      <c r="L88" s="133">
        <v>59848915.956698358</v>
      </c>
      <c r="M88" s="133">
        <v>59848915.956698358</v>
      </c>
      <c r="N88" s="133">
        <v>59848915.956698358</v>
      </c>
      <c r="O88" s="134"/>
      <c r="P88" s="101" t="s">
        <v>131</v>
      </c>
      <c r="Q88" s="137">
        <v>3.5321336580457219E-3</v>
      </c>
      <c r="R88" s="134"/>
      <c r="S88" s="134"/>
      <c r="T88" s="134"/>
      <c r="U88" s="134"/>
      <c r="V88" s="134"/>
      <c r="X88" s="12" t="s">
        <v>127</v>
      </c>
      <c r="Y88" s="12">
        <v>3.9983104518875965E-3</v>
      </c>
      <c r="Z88" s="12">
        <v>8.5207839056381971E-4</v>
      </c>
      <c r="AA88" s="12">
        <v>4.6924209041868989</v>
      </c>
      <c r="AB88" s="12">
        <v>4.2538804084299039E-2</v>
      </c>
      <c r="AC88" s="12">
        <v>3.3211303876764815E-4</v>
      </c>
      <c r="AD88" s="12">
        <v>7.6645078650075448E-3</v>
      </c>
      <c r="AE88" s="12">
        <v>3.3211303876764815E-4</v>
      </c>
      <c r="AF88" s="12">
        <v>7.6645078650075448E-3</v>
      </c>
    </row>
    <row r="89" spans="1:32" ht="15.75" thickBot="1" x14ac:dyDescent="0.3">
      <c r="I89" s="135">
        <v>224236851772248.97</v>
      </c>
      <c r="J89" s="135">
        <v>224236851772248.97</v>
      </c>
      <c r="K89" s="135">
        <v>224236851772248.97</v>
      </c>
      <c r="L89" s="135">
        <v>224236851772248.97</v>
      </c>
      <c r="M89" s="135">
        <v>224236851772248.97</v>
      </c>
      <c r="N89" s="135">
        <v>224236851772248.97</v>
      </c>
      <c r="O89" s="134"/>
      <c r="P89" s="103" t="s">
        <v>132</v>
      </c>
      <c r="Q89" s="138">
        <v>-4.2651437226645105E-9</v>
      </c>
      <c r="R89" s="134"/>
      <c r="S89" s="134"/>
      <c r="T89" s="134"/>
      <c r="U89" s="134"/>
      <c r="V89" s="134"/>
      <c r="X89" s="12" t="s">
        <v>128</v>
      </c>
      <c r="Y89" s="12">
        <v>3.5321336579805158E-3</v>
      </c>
      <c r="Z89" s="12">
        <v>1.0318633401856252E-2</v>
      </c>
      <c r="AA89" s="12">
        <v>0.3423063423636224</v>
      </c>
      <c r="AB89" s="12">
        <v>0.7647461672302136</v>
      </c>
      <c r="AC89" s="12">
        <v>-4.086536251580028E-2</v>
      </c>
      <c r="AD89" s="12">
        <v>4.7929629831761314E-2</v>
      </c>
      <c r="AE89" s="12">
        <v>-4.086536251580028E-2</v>
      </c>
      <c r="AF89" s="12">
        <v>4.7929629831761314E-2</v>
      </c>
    </row>
    <row r="90" spans="1:32" ht="15.75" thickBot="1" x14ac:dyDescent="0.3">
      <c r="I90" s="134"/>
      <c r="J90" s="134"/>
      <c r="K90" s="134"/>
      <c r="L90" s="134"/>
      <c r="M90" s="134"/>
      <c r="N90" s="134"/>
      <c r="O90" s="134"/>
      <c r="P90" s="134"/>
      <c r="Q90" s="134"/>
      <c r="R90" s="134"/>
      <c r="S90" s="134"/>
      <c r="T90" s="134"/>
      <c r="U90" s="134"/>
      <c r="V90" s="134"/>
      <c r="X90" s="13" t="s">
        <v>129</v>
      </c>
      <c r="Y90" s="13">
        <v>-4.2651437226411352E-9</v>
      </c>
      <c r="Z90" s="13">
        <v>2.9323889439089982E-9</v>
      </c>
      <c r="AA90" s="13">
        <v>-1.4544945449683488</v>
      </c>
      <c r="AB90" s="13">
        <v>0.28303505089871905</v>
      </c>
      <c r="AC90" s="13">
        <v>-1.6882195016838335E-8</v>
      </c>
      <c r="AD90" s="13">
        <v>8.3519075715560625E-9</v>
      </c>
      <c r="AE90" s="13">
        <v>-1.6882195016838335E-8</v>
      </c>
      <c r="AF90" s="13">
        <v>8.3519075715560625E-9</v>
      </c>
    </row>
    <row r="91" spans="1:32" ht="15.75" thickBot="1" x14ac:dyDescent="0.3">
      <c r="I91" s="86" t="s">
        <v>78</v>
      </c>
      <c r="J91" s="87">
        <f>O92-L92*M92^2</f>
        <v>436238.45989616646</v>
      </c>
      <c r="K91" s="134"/>
      <c r="L91" s="86" t="s">
        <v>64</v>
      </c>
      <c r="M91" s="122" t="s">
        <v>65</v>
      </c>
      <c r="N91" s="134"/>
      <c r="O91" s="86" t="s">
        <v>74</v>
      </c>
      <c r="P91" s="122" t="s">
        <v>75</v>
      </c>
      <c r="Q91" s="134"/>
      <c r="R91" s="86" t="s">
        <v>122</v>
      </c>
      <c r="S91" s="87">
        <f>COUNTA(A71:A78)*J93</f>
        <v>7.6920249799660443</v>
      </c>
      <c r="T91" s="134"/>
      <c r="U91" s="134"/>
      <c r="V91" s="134"/>
      <c r="X91"/>
      <c r="Y91"/>
      <c r="Z91"/>
      <c r="AA91"/>
      <c r="AB91"/>
      <c r="AC91"/>
      <c r="AD91"/>
      <c r="AE91"/>
      <c r="AF91"/>
    </row>
    <row r="92" spans="1:32" ht="15.75" thickBot="1" x14ac:dyDescent="0.3">
      <c r="I92" s="88" t="s">
        <v>79</v>
      </c>
      <c r="J92" s="89">
        <f>P92-L92*M92^2</f>
        <v>419444.64134290349</v>
      </c>
      <c r="K92" s="134"/>
      <c r="L92" s="123">
        <f>COUNT(D71:D78)</f>
        <v>8</v>
      </c>
      <c r="M92" s="139">
        <f>AVERAGE(A71:A78)</f>
        <v>179.98354564307112</v>
      </c>
      <c r="N92" s="134"/>
      <c r="O92" s="126">
        <f t="array" ref="O92">MMULT(TRANSPOSE(A71:A78),A71:A78)</f>
        <v>695391.07351417816</v>
      </c>
      <c r="P92" s="120">
        <f t="array" ref="P92">MMULT(TRANSPOSE(Q84:Q89),MMULT(I70:P75,A71:A78))</f>
        <v>678597.25496091519</v>
      </c>
      <c r="Q92" s="134"/>
      <c r="R92" s="126" t="s">
        <v>124</v>
      </c>
      <c r="S92" s="120">
        <f>CHIINV(5%,5)</f>
        <v>11.070497693516353</v>
      </c>
      <c r="T92" s="134"/>
      <c r="U92" s="286" t="s">
        <v>133</v>
      </c>
      <c r="V92" s="287"/>
      <c r="W92" s="287"/>
      <c r="X92" s="288"/>
      <c r="Y92"/>
      <c r="Z92"/>
      <c r="AA92"/>
      <c r="AB92"/>
      <c r="AC92"/>
      <c r="AD92"/>
      <c r="AE92"/>
      <c r="AF92"/>
    </row>
    <row r="93" spans="1:32" ht="15.75" thickBot="1" x14ac:dyDescent="0.3">
      <c r="I93" s="90" t="s">
        <v>82</v>
      </c>
      <c r="J93" s="118">
        <f>J92/J91</f>
        <v>0.96150312249575554</v>
      </c>
      <c r="K93" s="134"/>
      <c r="L93" s="134"/>
      <c r="M93" s="134"/>
      <c r="N93" s="134"/>
      <c r="O93" s="134"/>
      <c r="P93" s="134"/>
      <c r="Q93" s="134"/>
      <c r="R93" s="134"/>
      <c r="S93" s="134"/>
      <c r="T93" s="134"/>
      <c r="U93" s="289"/>
      <c r="V93" s="290"/>
      <c r="W93" s="290"/>
      <c r="X93" s="291"/>
      <c r="Y93"/>
      <c r="Z93"/>
      <c r="AA93"/>
      <c r="AB93"/>
      <c r="AC93"/>
      <c r="AD93"/>
      <c r="AE93"/>
      <c r="AF93"/>
    </row>
    <row r="94" spans="1:32" ht="15.75" customHeight="1" thickBot="1" x14ac:dyDescent="0.3">
      <c r="I94" s="134"/>
      <c r="J94" s="134"/>
      <c r="K94" s="134"/>
      <c r="L94" s="134"/>
      <c r="M94" s="134"/>
      <c r="N94" s="134"/>
      <c r="O94" s="134"/>
      <c r="P94" s="134"/>
      <c r="Q94" s="134"/>
      <c r="R94" s="134"/>
      <c r="S94" s="134"/>
      <c r="U94" s="292"/>
      <c r="V94" s="293"/>
      <c r="W94" s="293"/>
      <c r="X94" s="294"/>
    </row>
    <row r="95" spans="1:32" s="108" customFormat="1" ht="15" customHeight="1" x14ac:dyDescent="0.25">
      <c r="I95" s="140"/>
      <c r="J95" s="140"/>
      <c r="K95" s="140"/>
      <c r="L95" s="140"/>
      <c r="M95" s="140"/>
      <c r="N95" s="140"/>
      <c r="O95" s="140"/>
      <c r="P95" s="140"/>
      <c r="Q95" s="140"/>
      <c r="R95" s="140"/>
      <c r="S95" s="140"/>
    </row>
    <row r="96" spans="1:32" ht="21.75" thickBot="1" x14ac:dyDescent="0.4">
      <c r="A96" s="109" t="s">
        <v>135</v>
      </c>
      <c r="I96" s="134"/>
      <c r="J96" s="134"/>
      <c r="K96" s="134"/>
      <c r="L96" s="134"/>
      <c r="M96" s="134"/>
      <c r="N96" s="134"/>
      <c r="O96" s="134"/>
      <c r="P96" s="134"/>
      <c r="Q96" s="134"/>
      <c r="R96" s="134"/>
      <c r="S96" s="134"/>
    </row>
    <row r="97" spans="1:30" ht="16.5" thickBot="1" x14ac:dyDescent="0.3">
      <c r="A97" s="93" t="s">
        <v>105</v>
      </c>
      <c r="B97" s="93"/>
      <c r="C97" s="93" t="s">
        <v>108</v>
      </c>
      <c r="D97" s="93" t="s">
        <v>106</v>
      </c>
      <c r="E97" s="93" t="s">
        <v>113</v>
      </c>
      <c r="F97" s="93" t="s">
        <v>136</v>
      </c>
      <c r="G97" s="93" t="s">
        <v>137</v>
      </c>
      <c r="I97" s="134"/>
      <c r="J97" s="134"/>
      <c r="K97" s="134"/>
      <c r="L97" s="303" t="s">
        <v>138</v>
      </c>
      <c r="M97" s="304"/>
      <c r="N97" s="304"/>
      <c r="O97" s="304"/>
      <c r="P97" s="304"/>
      <c r="Q97" s="304"/>
      <c r="R97" s="304"/>
      <c r="S97" s="305"/>
      <c r="T97" s="134"/>
      <c r="U97" s="315" t="s">
        <v>140</v>
      </c>
      <c r="V97" s="315"/>
      <c r="W97" s="315"/>
    </row>
    <row r="98" spans="1:30" ht="15.75" x14ac:dyDescent="0.25">
      <c r="A98" s="95">
        <v>33.1</v>
      </c>
      <c r="B98" s="96">
        <v>1</v>
      </c>
      <c r="C98" s="97">
        <v>1170.5999999999999</v>
      </c>
      <c r="D98" s="97">
        <v>97.8</v>
      </c>
      <c r="E98" s="97">
        <f t="array" ref="E98">A98-($M$9+SUMPRODUCT(TRANSPOSE($M$10:$M$11),C98:D98))</f>
        <v>3.9343507395499628</v>
      </c>
      <c r="F98" s="97">
        <f>LN(E98^2)</f>
        <v>2.7394917439071111</v>
      </c>
      <c r="G98" s="144">
        <f t="array" ref="G98">EXP($J$98)+SUMPRODUCT(TRANSPOSE($J$99:$J$100),C98:D98)</f>
        <v>3.9126752599606114</v>
      </c>
      <c r="I98" s="99" t="s">
        <v>117</v>
      </c>
      <c r="J98" s="141">
        <f>B123</f>
        <v>0.16090015386839207</v>
      </c>
      <c r="K98" s="134"/>
      <c r="L98" s="152">
        <f>G98</f>
        <v>3.9126752599606114</v>
      </c>
      <c r="M98" s="145">
        <v>0</v>
      </c>
      <c r="N98" s="145">
        <v>0</v>
      </c>
      <c r="O98" s="145">
        <v>0</v>
      </c>
      <c r="P98" s="145">
        <v>0</v>
      </c>
      <c r="Q98" s="145">
        <v>0</v>
      </c>
      <c r="R98" s="145">
        <v>0</v>
      </c>
      <c r="S98" s="146">
        <v>0</v>
      </c>
      <c r="T98" s="134"/>
      <c r="U98" s="130">
        <f t="array" ref="U98:W100">MINVERSE(MMULT(H1:O3,MMULT(L109:S116,B2:D9)))</f>
        <v>23.704171687891645</v>
      </c>
      <c r="V98" s="130">
        <v>-1.1651710847517165E-2</v>
      </c>
      <c r="W98" s="130">
        <v>-1.3455916394514491E-2</v>
      </c>
    </row>
    <row r="99" spans="1:30" ht="15.75" x14ac:dyDescent="0.25">
      <c r="A99" s="95">
        <v>80</v>
      </c>
      <c r="B99" s="96">
        <v>1</v>
      </c>
      <c r="C99" s="97">
        <v>1588</v>
      </c>
      <c r="D99" s="97">
        <v>287.8</v>
      </c>
      <c r="E99" s="97">
        <f t="array" ref="E99">A99-($M$9+SUMPRODUCT(TRANSPOSE($M$10:$M$11),C99:D99))</f>
        <v>7.6233092646567684</v>
      </c>
      <c r="F99" s="97">
        <f t="shared" ref="F99:F105" si="7">LN(E99^2)</f>
        <v>4.0624211242474866</v>
      </c>
      <c r="G99" s="144">
        <f t="array" ref="G99">EXP($J$98)+SUMPRODUCT(TRANSPOSE($J$99:$J$100),C99:D99)</f>
        <v>3.1444429982564892</v>
      </c>
      <c r="I99" s="101" t="s">
        <v>118</v>
      </c>
      <c r="J99" s="142">
        <f>B124</f>
        <v>3.2786281116827238E-3</v>
      </c>
      <c r="K99" s="134"/>
      <c r="L99" s="147">
        <v>0</v>
      </c>
      <c r="M99" s="153">
        <f>G99</f>
        <v>3.1444429982564892</v>
      </c>
      <c r="N99" s="148">
        <v>0</v>
      </c>
      <c r="O99" s="148">
        <v>0</v>
      </c>
      <c r="P99" s="148">
        <v>0</v>
      </c>
      <c r="Q99" s="148">
        <v>0</v>
      </c>
      <c r="R99" s="148">
        <v>0</v>
      </c>
      <c r="S99" s="149">
        <v>0</v>
      </c>
      <c r="T99" s="134"/>
      <c r="U99" s="131">
        <v>-1.1651710847517141E-2</v>
      </c>
      <c r="V99" s="131">
        <v>6.9800203903285206E-6</v>
      </c>
      <c r="W99" s="131">
        <v>-1.6181692120365217E-6</v>
      </c>
    </row>
    <row r="100" spans="1:30" ht="16.5" thickBot="1" x14ac:dyDescent="0.3">
      <c r="A100" s="95">
        <v>67</v>
      </c>
      <c r="B100" s="96">
        <v>1</v>
      </c>
      <c r="C100" s="97">
        <v>1687.2</v>
      </c>
      <c r="D100" s="97">
        <v>321.3</v>
      </c>
      <c r="E100" s="97">
        <f t="array" ref="E100">A100-($M$9+SUMPRODUCT(TRANSPOSE($M$10:$M$11),C100:D100))</f>
        <v>-13.722475221618282</v>
      </c>
      <c r="F100" s="97">
        <f t="shared" si="7"/>
        <v>5.2380700315296025</v>
      </c>
      <c r="G100" s="144">
        <f t="array" ref="G100">EXP($J$98)+SUMPRODUCT(TRANSPOSE($J$99:$J$100),C100:D100)</f>
        <v>3.0929433817252243</v>
      </c>
      <c r="I100" s="103" t="s">
        <v>119</v>
      </c>
      <c r="J100" s="143">
        <f>B125</f>
        <v>-1.1245955976423637E-2</v>
      </c>
      <c r="K100" s="134"/>
      <c r="L100" s="147">
        <v>0</v>
      </c>
      <c r="M100" s="148">
        <v>0</v>
      </c>
      <c r="N100" s="153">
        <f>G100</f>
        <v>3.0929433817252243</v>
      </c>
      <c r="O100" s="148">
        <v>0</v>
      </c>
      <c r="P100" s="148">
        <v>0</v>
      </c>
      <c r="Q100" s="148">
        <v>0</v>
      </c>
      <c r="R100" s="148">
        <v>0</v>
      </c>
      <c r="S100" s="149">
        <v>0</v>
      </c>
      <c r="T100" s="134"/>
      <c r="U100" s="130">
        <v>-1.3455916394514683E-2</v>
      </c>
      <c r="V100" s="130">
        <v>-1.6181692120364113E-6</v>
      </c>
      <c r="W100" s="130">
        <v>7.0450697307932931E-5</v>
      </c>
    </row>
    <row r="101" spans="1:30" ht="16.5" thickBot="1" x14ac:dyDescent="0.3">
      <c r="A101" s="95">
        <v>82</v>
      </c>
      <c r="B101" s="96">
        <v>1</v>
      </c>
      <c r="C101" s="97">
        <v>1749.4</v>
      </c>
      <c r="D101" s="97">
        <v>319.89999999999998</v>
      </c>
      <c r="E101" s="97">
        <f t="array" ref="E101">A101-($M$9+SUMPRODUCT(TRANSPOSE($M$10:$M$11),C101:D101))</f>
        <v>-0.25737216514056627</v>
      </c>
      <c r="F101" s="97">
        <f t="shared" si="7"/>
        <v>-2.7144642564090851</v>
      </c>
      <c r="G101" s="144">
        <f t="array" ref="G101">EXP($J$98)+SUMPRODUCT(TRANSPOSE($J$99:$J$100),C101:D101)</f>
        <v>3.3126183886388825</v>
      </c>
      <c r="I101" s="134"/>
      <c r="J101" s="134"/>
      <c r="K101" s="134"/>
      <c r="L101" s="147">
        <v>0</v>
      </c>
      <c r="M101" s="148">
        <v>0</v>
      </c>
      <c r="N101" s="148">
        <v>0</v>
      </c>
      <c r="O101" s="153">
        <f>G101</f>
        <v>3.3126183886388825</v>
      </c>
      <c r="P101" s="148">
        <v>0</v>
      </c>
      <c r="Q101" s="148">
        <v>0</v>
      </c>
      <c r="R101" s="148">
        <v>0</v>
      </c>
      <c r="S101" s="149">
        <v>0</v>
      </c>
      <c r="T101" s="134"/>
      <c r="U101" s="134"/>
      <c r="V101" s="134"/>
    </row>
    <row r="102" spans="1:30" ht="15.75" x14ac:dyDescent="0.25">
      <c r="A102" s="95">
        <v>72</v>
      </c>
      <c r="B102" s="96">
        <v>1</v>
      </c>
      <c r="C102" s="97">
        <v>1834.1</v>
      </c>
      <c r="D102" s="97">
        <v>220.9</v>
      </c>
      <c r="E102" s="97">
        <f t="array" ref="E102">A102-($M$9+SUMPRODUCT(TRANSPOSE($M$10:$M$11),C102:D102))</f>
        <v>3.6781979155138913</v>
      </c>
      <c r="F102" s="97">
        <f t="shared" si="7"/>
        <v>2.6048458707378872</v>
      </c>
      <c r="G102" s="144">
        <f t="array" ref="G102">EXP($J$98)+SUMPRODUCT(TRANSPOSE($J$99:$J$100),C102:D102)</f>
        <v>4.7036678313643492</v>
      </c>
      <c r="I102" s="134"/>
      <c r="J102" s="134"/>
      <c r="K102" s="134"/>
      <c r="L102" s="147">
        <v>0</v>
      </c>
      <c r="M102" s="148">
        <v>0</v>
      </c>
      <c r="N102" s="148">
        <v>0</v>
      </c>
      <c r="O102" s="148">
        <v>0</v>
      </c>
      <c r="P102" s="153">
        <f>G102</f>
        <v>4.7036678313643492</v>
      </c>
      <c r="Q102" s="148">
        <v>0</v>
      </c>
      <c r="R102" s="148">
        <v>0</v>
      </c>
      <c r="S102" s="149">
        <v>0</v>
      </c>
      <c r="T102" s="134"/>
      <c r="U102" s="155" t="s">
        <v>141</v>
      </c>
      <c r="V102" s="134"/>
      <c r="W102" s="316" t="s">
        <v>142</v>
      </c>
      <c r="X102" s="317"/>
      <c r="Z102" s="286" t="s">
        <v>143</v>
      </c>
      <c r="AA102" s="287"/>
      <c r="AB102" s="287"/>
      <c r="AC102" s="287"/>
      <c r="AD102" s="288"/>
    </row>
    <row r="103" spans="1:30" ht="15.75" x14ac:dyDescent="0.25">
      <c r="A103" s="95">
        <v>45</v>
      </c>
      <c r="B103" s="96">
        <v>1</v>
      </c>
      <c r="C103" s="97">
        <v>2015.8</v>
      </c>
      <c r="D103" s="97">
        <v>104.4</v>
      </c>
      <c r="E103" s="97">
        <f t="array" ref="E103">A103-($M$9+SUMPRODUCT(TRANSPOSE($M$10:$M$11),C103:D103))</f>
        <v>-9.251793572754309</v>
      </c>
      <c r="F103" s="97">
        <f t="shared" si="7"/>
        <v>4.4496348649708564</v>
      </c>
      <c r="G103" s="144">
        <f t="array" ref="G103">EXP($J$98)+SUMPRODUCT(TRANSPOSE($J$99:$J$100),C103:D103)</f>
        <v>6.6095484305104533</v>
      </c>
      <c r="I103" s="134"/>
      <c r="J103" s="134"/>
      <c r="K103" s="134"/>
      <c r="L103" s="147">
        <v>0</v>
      </c>
      <c r="M103" s="148">
        <v>0</v>
      </c>
      <c r="N103" s="148">
        <v>0</v>
      </c>
      <c r="O103" s="148">
        <v>0</v>
      </c>
      <c r="P103" s="148">
        <v>0</v>
      </c>
      <c r="Q103" s="153">
        <f>G103</f>
        <v>6.6095484305104533</v>
      </c>
      <c r="R103" s="148">
        <v>0</v>
      </c>
      <c r="S103" s="149">
        <v>0</v>
      </c>
      <c r="T103" s="134"/>
      <c r="U103" s="130">
        <f t="array" ref="U103:U105">MMULT(H1:O3,MMULT(L109:S116,A2:A9))</f>
        <v>125.8916111581697</v>
      </c>
      <c r="V103" s="134"/>
      <c r="W103" s="156" t="s">
        <v>37</v>
      </c>
      <c r="X103" s="158">
        <f t="array" ref="X103:X105">MMULT(U98:W100,U103:U105)</f>
        <v>-15.201317931106018</v>
      </c>
      <c r="Z103" s="289"/>
      <c r="AA103" s="290"/>
      <c r="AB103" s="290"/>
      <c r="AC103" s="290"/>
      <c r="AD103" s="291"/>
    </row>
    <row r="104" spans="1:30" ht="16.5" thickBot="1" x14ac:dyDescent="0.3">
      <c r="A104" s="95">
        <v>44.6</v>
      </c>
      <c r="B104" s="96">
        <v>1</v>
      </c>
      <c r="C104" s="97">
        <v>2039.7</v>
      </c>
      <c r="D104" s="97">
        <v>156.19999999999999</v>
      </c>
      <c r="E104" s="97">
        <f t="array" ref="E104">A104-($M$9+SUMPRODUCT(TRANSPOSE($M$10:$M$11),C104:D104))</f>
        <v>-18.880162824720379</v>
      </c>
      <c r="F104" s="97">
        <f t="shared" si="7"/>
        <v>5.8762235697417289</v>
      </c>
      <c r="G104" s="144">
        <f t="array" ref="G104">EXP($J$98)+SUMPRODUCT(TRANSPOSE($J$99:$J$100),C104:D104)</f>
        <v>6.105367122800927</v>
      </c>
      <c r="I104" s="134"/>
      <c r="J104" s="134"/>
      <c r="K104" s="134"/>
      <c r="L104" s="147">
        <v>0</v>
      </c>
      <c r="M104" s="148">
        <v>0</v>
      </c>
      <c r="N104" s="148">
        <v>0</v>
      </c>
      <c r="O104" s="148">
        <v>0</v>
      </c>
      <c r="P104" s="148">
        <v>0</v>
      </c>
      <c r="Q104" s="148">
        <v>0</v>
      </c>
      <c r="R104" s="153">
        <f>G104</f>
        <v>6.105367122800927</v>
      </c>
      <c r="S104" s="149">
        <v>0</v>
      </c>
      <c r="T104" s="134"/>
      <c r="U104" s="132">
        <v>221299.14674742386</v>
      </c>
      <c r="V104" s="134"/>
      <c r="W104" s="157" t="s">
        <v>87</v>
      </c>
      <c r="X104" s="158">
        <v>2.7210433106412163E-2</v>
      </c>
      <c r="Z104" s="292"/>
      <c r="AA104" s="293"/>
      <c r="AB104" s="293"/>
      <c r="AC104" s="293"/>
      <c r="AD104" s="294"/>
    </row>
    <row r="105" spans="1:30" ht="16.5" thickBot="1" x14ac:dyDescent="0.3">
      <c r="A105" s="95">
        <v>98</v>
      </c>
      <c r="B105" s="96">
        <v>1</v>
      </c>
      <c r="C105" s="97">
        <v>2132.1999999999998</v>
      </c>
      <c r="D105" s="97">
        <v>186.6</v>
      </c>
      <c r="E105" s="97">
        <f t="array" ref="E105">A105-($M$9+SUMPRODUCT(TRANSPOSE($M$10:$M$11),C105:D105))</f>
        <v>26.875945864515188</v>
      </c>
      <c r="F105" s="97">
        <f t="shared" si="7"/>
        <v>6.5824633615744066</v>
      </c>
      <c r="G105" s="144">
        <f t="array" ref="G105">EXP($J$98)+SUMPRODUCT(TRANSPOSE($J$99:$J$100),C105:D105)</f>
        <v>6.0667631614482991</v>
      </c>
      <c r="I105" s="134"/>
      <c r="J105" s="134"/>
      <c r="K105" s="134"/>
      <c r="L105" s="150">
        <v>0</v>
      </c>
      <c r="M105" s="151">
        <v>0</v>
      </c>
      <c r="N105" s="151">
        <v>0</v>
      </c>
      <c r="O105" s="151">
        <v>0</v>
      </c>
      <c r="P105" s="151">
        <v>0</v>
      </c>
      <c r="Q105" s="151">
        <v>0</v>
      </c>
      <c r="R105" s="151">
        <v>0</v>
      </c>
      <c r="S105" s="154">
        <f>G105</f>
        <v>6.0667631614482991</v>
      </c>
      <c r="T105" s="134"/>
      <c r="U105" s="130">
        <v>31275.760182187827</v>
      </c>
      <c r="V105" s="134"/>
      <c r="W105" s="159" t="s">
        <v>88</v>
      </c>
      <c r="X105" s="160">
        <v>0.15131265323912402</v>
      </c>
    </row>
    <row r="106" spans="1:30" ht="15.75" thickBot="1" x14ac:dyDescent="0.3">
      <c r="I106" s="134"/>
      <c r="J106" s="134"/>
      <c r="K106" s="134"/>
      <c r="L106" s="134"/>
      <c r="M106" s="134"/>
      <c r="N106" s="134"/>
      <c r="O106" s="134"/>
      <c r="P106" s="134"/>
      <c r="Q106" s="134"/>
      <c r="R106" s="134"/>
      <c r="S106" s="134"/>
      <c r="T106" s="134"/>
      <c r="U106" s="134"/>
      <c r="V106" s="134"/>
    </row>
    <row r="107" spans="1:30" ht="15.75" thickBot="1" x14ac:dyDescent="0.3">
      <c r="A107" t="s">
        <v>38</v>
      </c>
      <c r="B107"/>
      <c r="C107"/>
      <c r="D107"/>
      <c r="E107"/>
      <c r="F107"/>
      <c r="G107"/>
      <c r="H107"/>
      <c r="I107"/>
      <c r="J107" s="134"/>
      <c r="K107" s="134"/>
      <c r="L107" s="134"/>
      <c r="M107" s="134"/>
      <c r="N107" s="134"/>
      <c r="O107" s="134"/>
      <c r="P107" s="134"/>
      <c r="Q107" s="134"/>
      <c r="R107" s="134"/>
      <c r="S107" s="134"/>
      <c r="T107" s="134"/>
      <c r="U107" s="134"/>
      <c r="V107" s="134"/>
      <c r="W107" s="161" t="s">
        <v>144</v>
      </c>
      <c r="X107" s="87"/>
    </row>
    <row r="108" spans="1:30" ht="15.75" thickBot="1" x14ac:dyDescent="0.3">
      <c r="A108"/>
      <c r="B108"/>
      <c r="C108"/>
      <c r="D108"/>
      <c r="E108"/>
      <c r="F108"/>
      <c r="G108"/>
      <c r="H108"/>
      <c r="I108"/>
      <c r="J108" s="134"/>
      <c r="K108" s="134"/>
      <c r="L108" s="303" t="s">
        <v>139</v>
      </c>
      <c r="M108" s="304"/>
      <c r="N108" s="304"/>
      <c r="O108" s="304"/>
      <c r="P108" s="304"/>
      <c r="Q108" s="304"/>
      <c r="R108" s="304"/>
      <c r="S108" s="305"/>
      <c r="T108" s="134"/>
      <c r="U108" s="134"/>
      <c r="V108" s="134"/>
      <c r="W108" s="119" t="s">
        <v>120</v>
      </c>
      <c r="X108" s="89">
        <v>37510.770000000004</v>
      </c>
    </row>
    <row r="109" spans="1:30" x14ac:dyDescent="0.25">
      <c r="A109" s="15" t="s">
        <v>39</v>
      </c>
      <c r="B109" s="15"/>
      <c r="C109"/>
      <c r="D109"/>
      <c r="E109"/>
      <c r="F109"/>
      <c r="G109"/>
      <c r="H109"/>
      <c r="I109"/>
      <c r="J109" s="134"/>
      <c r="K109" s="134"/>
      <c r="L109" s="152">
        <f t="array" ref="L109:S116">MINVERSE(L98:S105)</f>
        <v>0.25557960565581589</v>
      </c>
      <c r="M109" s="145">
        <v>0</v>
      </c>
      <c r="N109" s="145">
        <v>0</v>
      </c>
      <c r="O109" s="145">
        <v>0</v>
      </c>
      <c r="P109" s="145">
        <v>0</v>
      </c>
      <c r="Q109" s="145">
        <v>0</v>
      </c>
      <c r="R109" s="145">
        <v>0</v>
      </c>
      <c r="S109" s="146">
        <v>0</v>
      </c>
      <c r="T109" s="134"/>
      <c r="U109" s="134"/>
      <c r="V109" s="134"/>
      <c r="W109" s="88" t="s">
        <v>145</v>
      </c>
      <c r="X109" s="89">
        <f t="array" ref="X109">MMULT(TRANSPOSE(X103:X105),U103:U105)</f>
        <v>8840.3454782397421</v>
      </c>
    </row>
    <row r="110" spans="1:30" x14ac:dyDescent="0.25">
      <c r="A110" s="12" t="s">
        <v>40</v>
      </c>
      <c r="B110" s="12">
        <v>0.50267191436986103</v>
      </c>
      <c r="C110"/>
      <c r="D110"/>
      <c r="E110"/>
      <c r="F110"/>
      <c r="G110"/>
      <c r="H110"/>
      <c r="I110"/>
      <c r="J110" s="134"/>
      <c r="K110" s="134"/>
      <c r="L110" s="147">
        <v>0</v>
      </c>
      <c r="M110" s="153">
        <v>0.31802134767730683</v>
      </c>
      <c r="N110" s="148">
        <v>0</v>
      </c>
      <c r="O110" s="148">
        <v>0</v>
      </c>
      <c r="P110" s="148">
        <v>0</v>
      </c>
      <c r="Q110" s="148">
        <v>0</v>
      </c>
      <c r="R110" s="148">
        <v>0</v>
      </c>
      <c r="S110" s="149">
        <v>0</v>
      </c>
      <c r="T110" s="134"/>
      <c r="U110" s="134"/>
      <c r="V110" s="134"/>
      <c r="W110" s="88" t="s">
        <v>123</v>
      </c>
      <c r="X110" s="89">
        <f>COUNT(A98:A105)*AVERAGE(A98:A105)^2</f>
        <v>34021.361250000009</v>
      </c>
    </row>
    <row r="111" spans="1:30" ht="15.75" thickBot="1" x14ac:dyDescent="0.3">
      <c r="A111" s="12" t="s">
        <v>41</v>
      </c>
      <c r="B111" s="12">
        <v>0.25267905349626091</v>
      </c>
      <c r="C111"/>
      <c r="D111"/>
      <c r="E111"/>
      <c r="F111"/>
      <c r="G111"/>
      <c r="H111"/>
      <c r="I111"/>
      <c r="J111" s="134"/>
      <c r="K111" s="134"/>
      <c r="L111" s="147">
        <v>0</v>
      </c>
      <c r="M111" s="148">
        <v>0</v>
      </c>
      <c r="N111" s="153">
        <v>0.32331661999005179</v>
      </c>
      <c r="O111" s="148">
        <v>0</v>
      </c>
      <c r="P111" s="148">
        <v>0</v>
      </c>
      <c r="Q111" s="148">
        <v>0</v>
      </c>
      <c r="R111" s="148">
        <v>0</v>
      </c>
      <c r="S111" s="149">
        <v>0</v>
      </c>
      <c r="T111" s="134"/>
      <c r="U111" s="134"/>
      <c r="V111" s="134"/>
      <c r="W111" s="90" t="s">
        <v>80</v>
      </c>
      <c r="X111" s="120">
        <f>X108-X109</f>
        <v>28670.424521760262</v>
      </c>
    </row>
    <row r="112" spans="1:30" x14ac:dyDescent="0.25">
      <c r="A112" s="12" t="s">
        <v>42</v>
      </c>
      <c r="B112" s="12">
        <v>-4.6249325105234718E-2</v>
      </c>
      <c r="C112"/>
      <c r="D112"/>
      <c r="E112"/>
      <c r="F112"/>
      <c r="G112"/>
      <c r="H112"/>
      <c r="I112"/>
      <c r="J112" s="134"/>
      <c r="K112" s="134"/>
      <c r="L112" s="147">
        <v>0</v>
      </c>
      <c r="M112" s="148">
        <v>0</v>
      </c>
      <c r="N112" s="148">
        <v>0</v>
      </c>
      <c r="O112" s="153">
        <v>0.30187600341459453</v>
      </c>
      <c r="P112" s="148">
        <v>0</v>
      </c>
      <c r="Q112" s="148">
        <v>0</v>
      </c>
      <c r="R112" s="148">
        <v>0</v>
      </c>
      <c r="S112" s="149">
        <v>0</v>
      </c>
      <c r="T112" s="134"/>
      <c r="U112" s="134"/>
      <c r="V112" s="134"/>
    </row>
    <row r="113" spans="1:22" x14ac:dyDescent="0.25">
      <c r="A113" s="12" t="s">
        <v>43</v>
      </c>
      <c r="B113" s="12">
        <v>2.9770756024299261</v>
      </c>
      <c r="C113"/>
      <c r="D113"/>
      <c r="E113"/>
      <c r="F113"/>
      <c r="G113"/>
      <c r="H113"/>
      <c r="I113"/>
      <c r="J113" s="134"/>
      <c r="K113" s="134"/>
      <c r="L113" s="147">
        <v>0</v>
      </c>
      <c r="M113" s="148">
        <v>0</v>
      </c>
      <c r="N113" s="148">
        <v>0</v>
      </c>
      <c r="O113" s="148">
        <v>0</v>
      </c>
      <c r="P113" s="153">
        <v>0.21260004657045251</v>
      </c>
      <c r="Q113" s="148">
        <v>0</v>
      </c>
      <c r="R113" s="148">
        <v>0</v>
      </c>
      <c r="S113" s="149">
        <v>0</v>
      </c>
      <c r="T113" s="134"/>
      <c r="U113" s="134"/>
      <c r="V113" s="134"/>
    </row>
    <row r="114" spans="1:22" ht="15.75" thickBot="1" x14ac:dyDescent="0.3">
      <c r="A114" s="13" t="s">
        <v>44</v>
      </c>
      <c r="B114" s="13">
        <v>8</v>
      </c>
      <c r="C114"/>
      <c r="D114"/>
      <c r="E114"/>
      <c r="F114"/>
      <c r="G114"/>
      <c r="H114"/>
      <c r="I114"/>
      <c r="J114" s="134"/>
      <c r="K114" s="134"/>
      <c r="L114" s="147">
        <v>0</v>
      </c>
      <c r="M114" s="148">
        <v>0</v>
      </c>
      <c r="N114" s="148">
        <v>0</v>
      </c>
      <c r="O114" s="148">
        <v>0</v>
      </c>
      <c r="P114" s="148">
        <v>0</v>
      </c>
      <c r="Q114" s="153">
        <v>0.15129626638090468</v>
      </c>
      <c r="R114" s="148">
        <v>0</v>
      </c>
      <c r="S114" s="149">
        <v>0</v>
      </c>
      <c r="T114" s="134"/>
      <c r="U114" s="134"/>
      <c r="V114" s="134"/>
    </row>
    <row r="115" spans="1:22" x14ac:dyDescent="0.25">
      <c r="A115"/>
      <c r="B115"/>
      <c r="C115"/>
      <c r="D115"/>
      <c r="E115"/>
      <c r="F115"/>
      <c r="G115"/>
      <c r="H115"/>
      <c r="I115"/>
      <c r="J115" s="134"/>
      <c r="K115" s="134"/>
      <c r="L115" s="147">
        <v>0</v>
      </c>
      <c r="M115" s="148">
        <v>0</v>
      </c>
      <c r="N115" s="148">
        <v>0</v>
      </c>
      <c r="O115" s="148">
        <v>0</v>
      </c>
      <c r="P115" s="148">
        <v>0</v>
      </c>
      <c r="Q115" s="148">
        <v>0</v>
      </c>
      <c r="R115" s="153">
        <v>0.16379031430647781</v>
      </c>
      <c r="S115" s="149">
        <v>0</v>
      </c>
      <c r="T115" s="134"/>
      <c r="U115" s="134"/>
      <c r="V115" s="134"/>
    </row>
    <row r="116" spans="1:22" ht="15.75" thickBot="1" x14ac:dyDescent="0.3">
      <c r="A116" t="s">
        <v>45</v>
      </c>
      <c r="B116"/>
      <c r="C116"/>
      <c r="D116"/>
      <c r="E116"/>
      <c r="F116"/>
      <c r="G116"/>
      <c r="H116"/>
      <c r="I116"/>
      <c r="J116" s="134"/>
      <c r="K116" s="134"/>
      <c r="L116" s="150">
        <v>0</v>
      </c>
      <c r="M116" s="151">
        <v>0</v>
      </c>
      <c r="N116" s="151">
        <v>0</v>
      </c>
      <c r="O116" s="151">
        <v>0</v>
      </c>
      <c r="P116" s="151">
        <v>0</v>
      </c>
      <c r="Q116" s="151">
        <v>0</v>
      </c>
      <c r="R116" s="151">
        <v>0</v>
      </c>
      <c r="S116" s="154">
        <v>0.16483254305270642</v>
      </c>
      <c r="T116" s="134"/>
      <c r="U116" s="134"/>
      <c r="V116" s="134"/>
    </row>
    <row r="117" spans="1:22" x14ac:dyDescent="0.25">
      <c r="A117" s="14"/>
      <c r="B117" s="14" t="s">
        <v>50</v>
      </c>
      <c r="C117" s="14" t="s">
        <v>51</v>
      </c>
      <c r="D117" s="14" t="s">
        <v>52</v>
      </c>
      <c r="E117" s="14" t="s">
        <v>53</v>
      </c>
      <c r="F117" s="14" t="s">
        <v>54</v>
      </c>
      <c r="G117"/>
      <c r="H117"/>
      <c r="I117"/>
      <c r="J117" s="134"/>
      <c r="K117" s="134"/>
      <c r="L117" s="134"/>
      <c r="M117" s="134"/>
      <c r="N117" s="134"/>
      <c r="O117" s="134"/>
      <c r="P117" s="134"/>
      <c r="Q117" s="134"/>
      <c r="R117" s="134"/>
      <c r="S117" s="134"/>
      <c r="T117" s="134"/>
      <c r="U117" s="134"/>
      <c r="V117" s="134"/>
    </row>
    <row r="118" spans="1:22" x14ac:dyDescent="0.25">
      <c r="A118" s="12" t="s">
        <v>46</v>
      </c>
      <c r="B118" s="12">
        <v>2</v>
      </c>
      <c r="C118" s="12">
        <v>14.983449824217509</v>
      </c>
      <c r="D118" s="12">
        <v>7.4917249121087544</v>
      </c>
      <c r="E118" s="12">
        <v>0.84528292254617221</v>
      </c>
      <c r="F118" s="12">
        <v>0.48280069649131141</v>
      </c>
      <c r="G118"/>
      <c r="H118"/>
      <c r="I118"/>
    </row>
    <row r="119" spans="1:22" ht="15.75" thickBot="1" x14ac:dyDescent="0.3">
      <c r="A119" s="12" t="s">
        <v>47</v>
      </c>
      <c r="B119" s="12">
        <v>5</v>
      </c>
      <c r="C119" s="12">
        <v>44.314895712917533</v>
      </c>
      <c r="D119" s="12">
        <v>8.8629791425835069</v>
      </c>
      <c r="E119" s="12"/>
      <c r="F119" s="12"/>
      <c r="G119"/>
      <c r="H119"/>
      <c r="I119"/>
    </row>
    <row r="120" spans="1:22" ht="15.75" customHeight="1" thickBot="1" x14ac:dyDescent="0.3">
      <c r="A120" s="13" t="s">
        <v>48</v>
      </c>
      <c r="B120" s="13">
        <v>7</v>
      </c>
      <c r="C120" s="13">
        <v>59.298345537135042</v>
      </c>
      <c r="D120" s="13"/>
      <c r="E120" s="13"/>
      <c r="F120" s="13"/>
      <c r="G120"/>
      <c r="H120"/>
      <c r="I120"/>
      <c r="L120" s="306" t="s">
        <v>146</v>
      </c>
      <c r="M120" s="307"/>
      <c r="N120" s="307"/>
      <c r="O120" s="307"/>
      <c r="P120" s="308"/>
    </row>
    <row r="121" spans="1:22" ht="15.75" customHeight="1" thickBot="1" x14ac:dyDescent="0.3">
      <c r="A121"/>
      <c r="B121"/>
      <c r="C121"/>
      <c r="D121"/>
      <c r="E121"/>
      <c r="F121"/>
      <c r="G121"/>
      <c r="H121"/>
      <c r="I121"/>
      <c r="L121" s="309"/>
      <c r="M121" s="310"/>
      <c r="N121" s="310"/>
      <c r="O121" s="310"/>
      <c r="P121" s="311"/>
    </row>
    <row r="122" spans="1:22" ht="15.75" thickBot="1" x14ac:dyDescent="0.3">
      <c r="A122" s="14"/>
      <c r="B122" s="14" t="s">
        <v>55</v>
      </c>
      <c r="C122" s="14" t="s">
        <v>43</v>
      </c>
      <c r="D122" s="14" t="s">
        <v>56</v>
      </c>
      <c r="E122" s="14" t="s">
        <v>57</v>
      </c>
      <c r="F122" s="14" t="s">
        <v>58</v>
      </c>
      <c r="G122" s="14" t="s">
        <v>59</v>
      </c>
      <c r="H122" s="14" t="s">
        <v>60</v>
      </c>
      <c r="I122" s="14" t="s">
        <v>61</v>
      </c>
      <c r="L122" s="312"/>
      <c r="M122" s="313"/>
      <c r="N122" s="313"/>
      <c r="O122" s="313"/>
      <c r="P122" s="314"/>
    </row>
    <row r="123" spans="1:22" x14ac:dyDescent="0.25">
      <c r="A123" s="12" t="s">
        <v>49</v>
      </c>
      <c r="B123" s="12">
        <v>0.16090015386839207</v>
      </c>
      <c r="C123" s="12">
        <v>7.1508449504333242</v>
      </c>
      <c r="D123" s="12">
        <v>2.2500858987110593E-2</v>
      </c>
      <c r="E123" s="12">
        <v>0.98291877637440139</v>
      </c>
      <c r="F123" s="12">
        <v>-18.220931985167176</v>
      </c>
      <c r="G123" s="12">
        <v>18.542732292903963</v>
      </c>
      <c r="H123" s="12">
        <v>-18.220931985167176</v>
      </c>
      <c r="I123" s="12">
        <v>18.542732292903963</v>
      </c>
    </row>
    <row r="124" spans="1:22" x14ac:dyDescent="0.25">
      <c r="A124" s="12" t="s">
        <v>108</v>
      </c>
      <c r="B124" s="12">
        <v>3.2786281116827238E-3</v>
      </c>
      <c r="C124" s="12">
        <v>3.6453924235203038E-3</v>
      </c>
      <c r="D124" s="12">
        <v>0.89938962141052547</v>
      </c>
      <c r="E124" s="12">
        <v>0.40966663941950177</v>
      </c>
      <c r="F124" s="12">
        <v>-6.092151435984813E-3</v>
      </c>
      <c r="G124" s="12">
        <v>1.2649407659350262E-2</v>
      </c>
      <c r="H124" s="12">
        <v>-6.092151435984813E-3</v>
      </c>
      <c r="I124" s="12">
        <v>1.2649407659350262E-2</v>
      </c>
    </row>
    <row r="125" spans="1:22" ht="15.75" thickBot="1" x14ac:dyDescent="0.3">
      <c r="A125" s="13" t="s">
        <v>106</v>
      </c>
      <c r="B125" s="13">
        <v>-1.1245955976423637E-2</v>
      </c>
      <c r="C125" s="13">
        <v>1.2391167146490446E-2</v>
      </c>
      <c r="D125" s="13">
        <v>-0.90757842610563377</v>
      </c>
      <c r="E125" s="13">
        <v>0.4057169962713858</v>
      </c>
      <c r="F125" s="13">
        <v>-4.309846516552545E-2</v>
      </c>
      <c r="G125" s="13">
        <v>2.0606553212678173E-2</v>
      </c>
      <c r="H125" s="13">
        <v>-4.309846516552545E-2</v>
      </c>
      <c r="I125" s="13">
        <v>2.0606553212678173E-2</v>
      </c>
    </row>
    <row r="126" spans="1:22" x14ac:dyDescent="0.25">
      <c r="A126"/>
      <c r="B126"/>
      <c r="C126"/>
      <c r="D126"/>
      <c r="E126"/>
      <c r="F126"/>
      <c r="G126"/>
      <c r="H126"/>
      <c r="I126"/>
    </row>
    <row r="127" spans="1:22" x14ac:dyDescent="0.25">
      <c r="A127"/>
      <c r="B127"/>
      <c r="C127"/>
      <c r="D127"/>
      <c r="E127"/>
      <c r="F127"/>
      <c r="G127"/>
      <c r="H127"/>
      <c r="I127"/>
    </row>
    <row r="128" spans="1:22" x14ac:dyDescent="0.25">
      <c r="A128"/>
      <c r="B128"/>
      <c r="C128"/>
      <c r="D128"/>
      <c r="E128"/>
      <c r="F128"/>
      <c r="G128"/>
      <c r="H128"/>
      <c r="I128"/>
    </row>
  </sheetData>
  <mergeCells count="16">
    <mergeCell ref="L120:P122"/>
    <mergeCell ref="L108:S108"/>
    <mergeCell ref="U92:X94"/>
    <mergeCell ref="U97:W97"/>
    <mergeCell ref="W102:X102"/>
    <mergeCell ref="Z102:AD104"/>
    <mergeCell ref="I55:M55"/>
    <mergeCell ref="I65:K66"/>
    <mergeCell ref="A85:F86"/>
    <mergeCell ref="L97:S97"/>
    <mergeCell ref="O9:T9"/>
    <mergeCell ref="O10:T10"/>
    <mergeCell ref="O11:T11"/>
    <mergeCell ref="A24:F27"/>
    <mergeCell ref="K16:O16"/>
    <mergeCell ref="R18:V20"/>
  </mergeCells>
  <pageMargins left="0.511811024" right="0.511811024" top="0.78740157499999996" bottom="0.78740157499999996" header="0.31496062000000002" footer="0.31496062000000002"/>
  <pageSetup paperSize="9" orientation="portrait" r:id="rId1"/>
  <ignoredErrors>
    <ignoredError sqref="G98:G105" formulaRange="1"/>
  </ignoredError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K82"/>
  <sheetViews>
    <sheetView showGridLines="0" topLeftCell="N1" zoomScaleNormal="100" workbookViewId="0">
      <selection activeCell="P9" sqref="P9"/>
    </sheetView>
  </sheetViews>
  <sheetFormatPr defaultColWidth="9.140625" defaultRowHeight="16.5" customHeight="1" x14ac:dyDescent="0.25"/>
  <cols>
    <col min="1" max="1" width="0.85546875" style="1" customWidth="1"/>
    <col min="2" max="2" width="20.7109375" style="1" bestFit="1" customWidth="1"/>
    <col min="3" max="13" width="9.140625" style="1" customWidth="1"/>
    <col min="14" max="14" width="0.140625" style="1" customWidth="1"/>
    <col min="15" max="15" width="0.85546875" style="1" customWidth="1"/>
    <col min="16" max="21" width="9.140625" style="1" customWidth="1"/>
    <col min="22" max="16384" width="9.140625" style="1"/>
  </cols>
  <sheetData>
    <row r="1" spans="2:30" ht="16.5" customHeight="1" thickBot="1" x14ac:dyDescent="0.3"/>
    <row r="2" spans="2:30" ht="16.5" customHeight="1" x14ac:dyDescent="0.25">
      <c r="B2" s="265" t="s">
        <v>2</v>
      </c>
      <c r="C2" s="266"/>
      <c r="D2" s="267" t="s">
        <v>0</v>
      </c>
      <c r="E2" s="267"/>
      <c r="F2" s="267"/>
      <c r="G2" s="267"/>
      <c r="H2" s="267"/>
      <c r="I2" s="267"/>
      <c r="J2" s="267"/>
      <c r="K2" s="267"/>
      <c r="L2" s="267"/>
      <c r="M2" s="268"/>
      <c r="P2" s="258" t="s">
        <v>26</v>
      </c>
      <c r="Q2" s="258"/>
      <c r="R2" s="258"/>
      <c r="S2" s="258"/>
      <c r="T2" s="258"/>
      <c r="U2" s="258"/>
      <c r="V2" s="258"/>
      <c r="W2" s="258"/>
      <c r="X2" s="258"/>
      <c r="Y2" s="258"/>
      <c r="Z2" s="258"/>
      <c r="AA2" s="258"/>
    </row>
    <row r="3" spans="2:30" ht="16.5" customHeight="1" x14ac:dyDescent="0.25">
      <c r="B3" s="273"/>
      <c r="C3" s="274"/>
      <c r="D3" s="269"/>
      <c r="E3" s="269"/>
      <c r="F3" s="269"/>
      <c r="G3" s="269"/>
      <c r="H3" s="269"/>
      <c r="I3" s="269"/>
      <c r="J3" s="269"/>
      <c r="K3" s="269"/>
      <c r="L3" s="269"/>
      <c r="M3" s="270"/>
      <c r="P3" s="258"/>
      <c r="Q3" s="258"/>
      <c r="R3" s="258"/>
      <c r="S3" s="258"/>
      <c r="T3" s="258"/>
      <c r="U3" s="258"/>
      <c r="V3" s="258"/>
      <c r="W3" s="258"/>
      <c r="X3" s="258"/>
      <c r="Y3" s="258"/>
      <c r="Z3" s="258"/>
      <c r="AA3" s="258"/>
    </row>
    <row r="4" spans="2:30" ht="16.5" customHeight="1" x14ac:dyDescent="0.25">
      <c r="B4" s="273">
        <v>101190648</v>
      </c>
      <c r="C4" s="274"/>
      <c r="D4" s="269"/>
      <c r="E4" s="269"/>
      <c r="F4" s="269"/>
      <c r="G4" s="269"/>
      <c r="H4" s="269"/>
      <c r="I4" s="269"/>
      <c r="J4" s="269"/>
      <c r="K4" s="269"/>
      <c r="L4" s="269"/>
      <c r="M4" s="270"/>
      <c r="P4" s="2" t="s">
        <v>35</v>
      </c>
    </row>
    <row r="5" spans="2:30" ht="16.5" customHeight="1" thickBot="1" x14ac:dyDescent="0.3">
      <c r="B5" s="275"/>
      <c r="C5" s="276"/>
      <c r="D5" s="271" t="s">
        <v>29</v>
      </c>
      <c r="E5" s="271"/>
      <c r="F5" s="271"/>
      <c r="G5" s="271"/>
      <c r="H5" s="271"/>
      <c r="I5" s="271"/>
      <c r="J5" s="271"/>
      <c r="K5" s="271"/>
      <c r="L5" s="271"/>
      <c r="M5" s="272"/>
      <c r="P5" s="3" t="s">
        <v>22</v>
      </c>
    </row>
    <row r="6" spans="2:30" ht="16.5" customHeight="1" x14ac:dyDescent="0.25">
      <c r="B6" s="259" t="s">
        <v>25</v>
      </c>
      <c r="C6" s="260"/>
      <c r="D6" s="260"/>
      <c r="E6" s="260"/>
      <c r="F6" s="260"/>
      <c r="G6" s="260"/>
      <c r="H6" s="260"/>
      <c r="I6" s="260"/>
      <c r="J6" s="260"/>
      <c r="K6" s="260"/>
      <c r="L6" s="260"/>
      <c r="M6" s="261"/>
      <c r="P6" s="3" t="s">
        <v>28</v>
      </c>
    </row>
    <row r="7" spans="2:30" ht="16.5" customHeight="1" x14ac:dyDescent="0.25">
      <c r="B7" s="259"/>
      <c r="C7" s="260"/>
      <c r="D7" s="260"/>
      <c r="E7" s="260"/>
      <c r="F7" s="260"/>
      <c r="G7" s="260"/>
      <c r="H7" s="260"/>
      <c r="I7" s="260"/>
      <c r="J7" s="260"/>
      <c r="K7" s="260"/>
      <c r="L7" s="260"/>
      <c r="M7" s="261"/>
      <c r="P7" s="3" t="s">
        <v>27</v>
      </c>
    </row>
    <row r="8" spans="2:30" ht="16.5" customHeight="1" x14ac:dyDescent="0.25">
      <c r="B8" s="259"/>
      <c r="C8" s="260"/>
      <c r="D8" s="260"/>
      <c r="E8" s="260"/>
      <c r="F8" s="260"/>
      <c r="G8" s="260"/>
      <c r="H8" s="260"/>
      <c r="I8" s="260"/>
      <c r="J8" s="260"/>
      <c r="K8" s="260"/>
      <c r="L8" s="260"/>
      <c r="M8" s="261"/>
      <c r="P8" s="3" t="s">
        <v>36</v>
      </c>
    </row>
    <row r="9" spans="2:30" ht="16.5" customHeight="1" x14ac:dyDescent="0.25">
      <c r="B9" s="259"/>
      <c r="C9" s="260"/>
      <c r="D9" s="260"/>
      <c r="E9" s="260"/>
      <c r="F9" s="260"/>
      <c r="G9" s="260"/>
      <c r="H9" s="260"/>
      <c r="I9" s="260"/>
      <c r="J9" s="260"/>
      <c r="K9" s="260"/>
      <c r="L9" s="260"/>
      <c r="M9" s="261"/>
      <c r="P9" s="3" t="s">
        <v>30</v>
      </c>
    </row>
    <row r="10" spans="2:30" ht="16.5" customHeight="1" x14ac:dyDescent="0.25">
      <c r="B10" s="259"/>
      <c r="C10" s="260"/>
      <c r="D10" s="260"/>
      <c r="E10" s="260"/>
      <c r="F10" s="260"/>
      <c r="G10" s="260"/>
      <c r="H10" s="260"/>
      <c r="I10" s="260"/>
      <c r="J10" s="260"/>
      <c r="K10" s="260"/>
      <c r="L10" s="260"/>
      <c r="M10" s="261"/>
      <c r="P10" s="3" t="s">
        <v>20</v>
      </c>
    </row>
    <row r="11" spans="2:30" ht="16.5" customHeight="1" x14ac:dyDescent="0.25">
      <c r="B11" s="259"/>
      <c r="C11" s="260"/>
      <c r="D11" s="260"/>
      <c r="E11" s="260"/>
      <c r="F11" s="260"/>
      <c r="G11" s="260"/>
      <c r="H11" s="260"/>
      <c r="I11" s="260"/>
      <c r="J11" s="260"/>
      <c r="K11" s="260"/>
      <c r="L11" s="260"/>
      <c r="M11" s="261"/>
    </row>
    <row r="12" spans="2:30" ht="16.5" customHeight="1" x14ac:dyDescent="0.25">
      <c r="B12" s="259"/>
      <c r="C12" s="260"/>
      <c r="D12" s="260"/>
      <c r="E12" s="260"/>
      <c r="F12" s="260"/>
      <c r="G12" s="260"/>
      <c r="H12" s="260"/>
      <c r="I12" s="260"/>
      <c r="J12" s="260"/>
      <c r="K12" s="260"/>
      <c r="L12" s="260"/>
      <c r="M12" s="261"/>
      <c r="P12" s="10" t="s">
        <v>31</v>
      </c>
      <c r="Q12" s="10" t="s">
        <v>6</v>
      </c>
      <c r="R12" s="10" t="s">
        <v>32</v>
      </c>
      <c r="S12" s="10" t="s">
        <v>12</v>
      </c>
      <c r="AA12"/>
      <c r="AB12" s="9"/>
      <c r="AC12" s="9"/>
      <c r="AD12" s="9"/>
    </row>
    <row r="13" spans="2:30" ht="16.5" customHeight="1" thickBot="1" x14ac:dyDescent="0.3">
      <c r="B13" s="262"/>
      <c r="C13" s="263"/>
      <c r="D13" s="263"/>
      <c r="E13" s="263"/>
      <c r="F13" s="263"/>
      <c r="G13" s="263"/>
      <c r="H13" s="263"/>
      <c r="I13" s="263"/>
      <c r="J13" s="263"/>
      <c r="K13" s="263"/>
      <c r="L13" s="263"/>
      <c r="M13" s="264"/>
      <c r="P13" s="10">
        <v>1958</v>
      </c>
      <c r="Q13" s="11">
        <v>16607.700000000012</v>
      </c>
      <c r="R13" s="11">
        <v>275.50000000000006</v>
      </c>
      <c r="S13" s="11">
        <v>17803.699999999986</v>
      </c>
      <c r="W13"/>
      <c r="X13"/>
      <c r="Y13"/>
      <c r="Z13"/>
      <c r="AB13" s="9"/>
      <c r="AC13" s="9"/>
      <c r="AD13" s="9"/>
    </row>
    <row r="14" spans="2:30" ht="16.5" customHeight="1" x14ac:dyDescent="0.25">
      <c r="P14" s="10">
        <v>1959</v>
      </c>
      <c r="Q14" s="11">
        <v>17511.299999999992</v>
      </c>
      <c r="R14" s="11">
        <v>274.39999999999986</v>
      </c>
      <c r="S14" s="11">
        <v>18096.799999999992</v>
      </c>
      <c r="W14"/>
      <c r="X14"/>
      <c r="Y14"/>
      <c r="Z14"/>
      <c r="AB14" s="9"/>
      <c r="AC14" s="9"/>
      <c r="AD14" s="9"/>
    </row>
    <row r="15" spans="2:30" ht="16.5" customHeight="1" x14ac:dyDescent="0.25">
      <c r="P15" s="10">
        <v>1960</v>
      </c>
      <c r="Q15" s="11">
        <v>20171.199999999986</v>
      </c>
      <c r="R15" s="11">
        <v>269.69999999999993</v>
      </c>
      <c r="S15" s="11">
        <v>18271.799999999992</v>
      </c>
      <c r="W15"/>
      <c r="X15"/>
      <c r="Y15"/>
      <c r="Z15"/>
      <c r="AB15" s="9"/>
      <c r="AC15" s="9"/>
      <c r="AD15" s="9"/>
    </row>
    <row r="16" spans="2:30" ht="16.5" customHeight="1" x14ac:dyDescent="0.25">
      <c r="P16" s="10">
        <v>1961</v>
      </c>
      <c r="Q16" s="11">
        <v>20932.900000000016</v>
      </c>
      <c r="R16" s="11">
        <v>267.00000000000006</v>
      </c>
      <c r="S16" s="11">
        <v>19167.299999999985</v>
      </c>
      <c r="W16"/>
      <c r="X16"/>
      <c r="Y16"/>
      <c r="Z16"/>
      <c r="AB16" s="9"/>
      <c r="AC16" s="9"/>
      <c r="AD16" s="9"/>
    </row>
    <row r="17" spans="2:37" ht="16.5" customHeight="1" x14ac:dyDescent="0.25">
      <c r="P17" s="10">
        <v>1962</v>
      </c>
      <c r="Q17" s="11">
        <v>20405.999999999985</v>
      </c>
      <c r="R17" s="11">
        <v>267.80000000000013</v>
      </c>
      <c r="S17" s="11">
        <v>19647.599999999991</v>
      </c>
      <c r="W17"/>
      <c r="X17"/>
      <c r="Y17"/>
      <c r="Z17"/>
      <c r="AB17" s="9"/>
      <c r="AC17" s="9"/>
      <c r="AD17" s="9"/>
      <c r="AE17"/>
      <c r="AF17"/>
      <c r="AG17"/>
      <c r="AH17"/>
      <c r="AI17"/>
      <c r="AJ17"/>
      <c r="AK17"/>
    </row>
    <row r="18" spans="2:37" ht="16.5" customHeight="1" x14ac:dyDescent="0.25">
      <c r="P18" s="10">
        <v>1963</v>
      </c>
      <c r="Q18" s="11">
        <v>20831.599999999999</v>
      </c>
      <c r="R18" s="11">
        <v>275.00000000000011</v>
      </c>
      <c r="S18" s="11">
        <v>20803.500000000011</v>
      </c>
      <c r="W18"/>
      <c r="X18"/>
      <c r="Y18"/>
      <c r="Z18"/>
      <c r="AB18" s="9"/>
      <c r="AC18" s="9"/>
      <c r="AD18" s="9"/>
      <c r="AE18"/>
      <c r="AF18"/>
      <c r="AG18"/>
      <c r="AH18"/>
      <c r="AI18"/>
      <c r="AJ18"/>
      <c r="AK18"/>
    </row>
    <row r="19" spans="2:37" ht="16.5" customHeight="1" x14ac:dyDescent="0.25">
      <c r="P19" s="10">
        <v>1964</v>
      </c>
      <c r="Q19" s="11">
        <v>24806.299999999992</v>
      </c>
      <c r="R19" s="11">
        <v>283</v>
      </c>
      <c r="S19" s="11">
        <v>22076.599999999995</v>
      </c>
      <c r="W19"/>
      <c r="X19"/>
      <c r="Y19"/>
      <c r="Z19"/>
      <c r="AB19" s="9"/>
      <c r="AC19" s="9"/>
      <c r="AD19" s="9"/>
      <c r="AE19"/>
      <c r="AF19"/>
      <c r="AG19"/>
      <c r="AH19"/>
      <c r="AI19"/>
      <c r="AJ19"/>
      <c r="AK19"/>
    </row>
    <row r="20" spans="2:37" ht="16.5" customHeight="1" x14ac:dyDescent="0.25">
      <c r="P20" s="10">
        <v>1965</v>
      </c>
      <c r="Q20" s="11">
        <v>26465.799999999988</v>
      </c>
      <c r="R20" s="11">
        <v>300.69999999999993</v>
      </c>
      <c r="S20" s="11">
        <v>23445.199999999997</v>
      </c>
      <c r="W20"/>
      <c r="X20"/>
      <c r="Y20"/>
      <c r="Z20"/>
      <c r="AB20" s="9"/>
      <c r="AC20" s="9"/>
      <c r="AD20" s="9"/>
      <c r="AE20"/>
      <c r="AF20"/>
      <c r="AG20"/>
      <c r="AH20"/>
      <c r="AI20"/>
      <c r="AJ20"/>
      <c r="AK20"/>
    </row>
    <row r="21" spans="2:37" ht="16.5" customHeight="1" x14ac:dyDescent="0.25">
      <c r="P21" s="10">
        <v>1966</v>
      </c>
      <c r="Q21" s="11">
        <v>27403.000000000004</v>
      </c>
      <c r="R21" s="11">
        <v>307.49999999999989</v>
      </c>
      <c r="S21" s="11">
        <v>24939.000000000018</v>
      </c>
      <c r="W21"/>
      <c r="X21"/>
      <c r="Y21"/>
      <c r="Z21"/>
      <c r="AB21" s="9"/>
      <c r="AC21" s="9"/>
      <c r="AD21" s="9"/>
      <c r="AE21"/>
      <c r="AF21"/>
      <c r="AG21"/>
      <c r="AH21"/>
      <c r="AI21"/>
      <c r="AJ21"/>
      <c r="AK21"/>
    </row>
    <row r="22" spans="2:37" ht="16.5" customHeight="1" x14ac:dyDescent="0.25">
      <c r="P22" s="10">
        <v>1967</v>
      </c>
      <c r="Q22" s="11">
        <v>28628.700000000004</v>
      </c>
      <c r="R22" s="11">
        <v>303.69999999999993</v>
      </c>
      <c r="S22" s="11">
        <v>26713.700000000004</v>
      </c>
      <c r="W22"/>
      <c r="X22"/>
      <c r="Y22"/>
      <c r="Z22"/>
      <c r="AB22" s="9"/>
      <c r="AC22" s="9"/>
      <c r="AD22" s="9"/>
      <c r="AE22"/>
      <c r="AF22"/>
      <c r="AG22"/>
      <c r="AH22"/>
      <c r="AI22"/>
      <c r="AJ22"/>
      <c r="AK22"/>
    </row>
    <row r="23" spans="2:37" ht="16.5" customHeight="1" x14ac:dyDescent="0.25">
      <c r="P23" s="10">
        <v>1968</v>
      </c>
      <c r="Q23" s="11">
        <v>29904.499999999993</v>
      </c>
      <c r="R23" s="11">
        <v>304.7</v>
      </c>
      <c r="S23" s="11">
        <v>29957.799999999977</v>
      </c>
      <c r="W23"/>
      <c r="X23"/>
      <c r="Y23"/>
      <c r="Z23"/>
      <c r="AC23"/>
      <c r="AD23"/>
      <c r="AE23"/>
      <c r="AF23"/>
      <c r="AG23"/>
      <c r="AH23"/>
      <c r="AI23"/>
      <c r="AJ23"/>
      <c r="AK23"/>
    </row>
    <row r="24" spans="2:37" ht="16.5" customHeight="1" x14ac:dyDescent="0.25">
      <c r="P24" s="10">
        <v>1969</v>
      </c>
      <c r="Q24" s="11">
        <v>27508.199999999993</v>
      </c>
      <c r="R24" s="11">
        <v>298.59999999999997</v>
      </c>
      <c r="S24" s="11">
        <v>31585.899999999994</v>
      </c>
      <c r="W24"/>
      <c r="X24"/>
      <c r="Y24"/>
      <c r="Z24"/>
      <c r="AC24"/>
      <c r="AD24"/>
      <c r="AE24"/>
      <c r="AF24"/>
      <c r="AG24"/>
      <c r="AH24"/>
      <c r="AI24"/>
      <c r="AJ24"/>
      <c r="AK24"/>
    </row>
    <row r="25" spans="2:37" ht="16.5" customHeight="1" x14ac:dyDescent="0.25">
      <c r="B25" s="2"/>
      <c r="P25" s="10">
        <v>1970</v>
      </c>
      <c r="Q25" s="11">
        <v>29035.499999999978</v>
      </c>
      <c r="R25" s="11">
        <v>295.50000000000006</v>
      </c>
      <c r="S25" s="11">
        <v>33474.500000000007</v>
      </c>
      <c r="W25"/>
      <c r="X25"/>
      <c r="Y25"/>
      <c r="Z25"/>
      <c r="AC25"/>
      <c r="AD25"/>
      <c r="AE25"/>
      <c r="AF25"/>
      <c r="AG25"/>
      <c r="AH25"/>
      <c r="AI25"/>
      <c r="AJ25"/>
      <c r="AK25"/>
    </row>
    <row r="26" spans="2:37" ht="16.5" customHeight="1" x14ac:dyDescent="0.25">
      <c r="P26" s="10">
        <v>1971</v>
      </c>
      <c r="Q26" s="11">
        <v>29281.500000000011</v>
      </c>
      <c r="R26" s="11">
        <v>299.00000000000011</v>
      </c>
      <c r="S26" s="11">
        <v>34821.800000000032</v>
      </c>
      <c r="W26"/>
      <c r="X26"/>
      <c r="Y26"/>
      <c r="Z26"/>
      <c r="AC26"/>
      <c r="AD26"/>
      <c r="AE26"/>
      <c r="AF26"/>
      <c r="AG26"/>
      <c r="AH26"/>
      <c r="AI26"/>
      <c r="AJ26"/>
      <c r="AK26"/>
    </row>
    <row r="27" spans="2:37" ht="16.5" customHeight="1" x14ac:dyDescent="0.25">
      <c r="P27" s="10">
        <v>1972</v>
      </c>
      <c r="Q27" s="11">
        <v>31531.8</v>
      </c>
      <c r="R27" s="11">
        <v>288.09999999999997</v>
      </c>
      <c r="S27" s="11">
        <v>41794.300000000017</v>
      </c>
      <c r="W27"/>
      <c r="X27"/>
      <c r="Y27"/>
      <c r="Z27"/>
      <c r="AC27"/>
      <c r="AD27"/>
      <c r="AE27"/>
      <c r="AF27"/>
      <c r="AG27"/>
      <c r="AH27"/>
      <c r="AI27"/>
      <c r="AJ27"/>
      <c r="AK27"/>
    </row>
    <row r="28" spans="2:37" ht="16.5" customHeight="1" x14ac:dyDescent="0.25">
      <c r="T28"/>
      <c r="Y28"/>
      <c r="Z28"/>
      <c r="AC28"/>
      <c r="AD28"/>
      <c r="AE28"/>
      <c r="AF28"/>
      <c r="AG28"/>
      <c r="AH28"/>
      <c r="AI28"/>
      <c r="AJ28"/>
      <c r="AK28"/>
    </row>
    <row r="29" spans="2:37" ht="16.5" customHeight="1" x14ac:dyDescent="0.25">
      <c r="T29"/>
      <c r="Y29"/>
      <c r="Z29"/>
      <c r="AC29"/>
      <c r="AD29"/>
      <c r="AE29"/>
      <c r="AF29"/>
      <c r="AG29"/>
      <c r="AH29"/>
      <c r="AI29"/>
      <c r="AJ29"/>
      <c r="AK29"/>
    </row>
    <row r="30" spans="2:37" ht="16.5" customHeight="1" x14ac:dyDescent="0.25">
      <c r="T30"/>
      <c r="Y30"/>
      <c r="Z30"/>
      <c r="AC30"/>
      <c r="AD30"/>
      <c r="AE30"/>
      <c r="AF30"/>
      <c r="AG30"/>
      <c r="AH30"/>
      <c r="AI30"/>
      <c r="AJ30"/>
      <c r="AK30"/>
    </row>
    <row r="31" spans="2:37" ht="16.5" customHeight="1" x14ac:dyDescent="0.25">
      <c r="T31"/>
      <c r="Y31"/>
      <c r="Z31"/>
      <c r="AC31"/>
      <c r="AD31"/>
      <c r="AE31"/>
      <c r="AF31"/>
      <c r="AG31"/>
      <c r="AH31"/>
      <c r="AI31"/>
      <c r="AJ31"/>
      <c r="AK31"/>
    </row>
    <row r="32" spans="2:37" ht="16.5" customHeight="1" x14ac:dyDescent="0.25">
      <c r="H32"/>
      <c r="I32"/>
      <c r="J32"/>
      <c r="K32"/>
      <c r="P32" s="4"/>
      <c r="T32"/>
      <c r="Y32"/>
      <c r="AC32"/>
      <c r="AD32"/>
      <c r="AE32"/>
      <c r="AF32"/>
      <c r="AG32"/>
      <c r="AH32"/>
      <c r="AI32"/>
      <c r="AJ32"/>
      <c r="AK32"/>
    </row>
    <row r="33" spans="8:37" ht="16.5" customHeight="1" x14ac:dyDescent="0.25">
      <c r="H33"/>
      <c r="I33"/>
      <c r="J33"/>
      <c r="K33"/>
      <c r="L33"/>
      <c r="M33"/>
      <c r="N33"/>
      <c r="O33"/>
      <c r="P33"/>
      <c r="Q33"/>
      <c r="R33"/>
      <c r="S33"/>
      <c r="T33"/>
      <c r="Y33"/>
      <c r="AC33"/>
      <c r="AD33"/>
      <c r="AE33"/>
      <c r="AF33"/>
      <c r="AG33"/>
      <c r="AH33"/>
      <c r="AI33"/>
      <c r="AJ33"/>
      <c r="AK33"/>
    </row>
    <row r="34" spans="8:37" ht="16.5" customHeight="1" x14ac:dyDescent="0.25">
      <c r="H34"/>
      <c r="I34"/>
      <c r="J34"/>
      <c r="K34"/>
      <c r="L34"/>
      <c r="M34"/>
      <c r="N34"/>
      <c r="O34"/>
      <c r="P34"/>
      <c r="Q34"/>
      <c r="R34"/>
      <c r="S34"/>
      <c r="T34"/>
      <c r="Y34"/>
      <c r="AC34"/>
      <c r="AD34"/>
      <c r="AE34"/>
      <c r="AF34"/>
      <c r="AG34"/>
      <c r="AH34"/>
      <c r="AI34"/>
      <c r="AJ34"/>
      <c r="AK34"/>
    </row>
    <row r="35" spans="8:37" ht="16.5" customHeight="1" x14ac:dyDescent="0.25">
      <c r="H35"/>
      <c r="I35"/>
      <c r="J35"/>
      <c r="K35"/>
      <c r="L35"/>
      <c r="M35"/>
      <c r="N35"/>
      <c r="O35"/>
      <c r="P35"/>
      <c r="Q35"/>
      <c r="R35"/>
      <c r="S35"/>
      <c r="T35"/>
      <c r="Y35"/>
      <c r="AC35"/>
      <c r="AD35"/>
      <c r="AE35"/>
      <c r="AF35"/>
      <c r="AG35"/>
      <c r="AH35"/>
      <c r="AI35"/>
      <c r="AJ35"/>
      <c r="AK35"/>
    </row>
    <row r="36" spans="8:37" ht="16.5" customHeight="1" x14ac:dyDescent="0.25">
      <c r="H36"/>
      <c r="I36"/>
      <c r="J36"/>
      <c r="K36"/>
      <c r="L36"/>
      <c r="M36"/>
      <c r="N36"/>
      <c r="O36"/>
      <c r="P36"/>
      <c r="Q36"/>
      <c r="R36"/>
      <c r="S36"/>
      <c r="T36"/>
      <c r="Y36"/>
      <c r="AC36"/>
      <c r="AD36"/>
      <c r="AE36"/>
      <c r="AF36"/>
      <c r="AG36"/>
      <c r="AH36"/>
      <c r="AI36"/>
      <c r="AJ36"/>
      <c r="AK36"/>
    </row>
    <row r="37" spans="8:37" ht="16.5" customHeight="1" x14ac:dyDescent="0.25">
      <c r="H37"/>
      <c r="I37"/>
      <c r="J37"/>
      <c r="K37"/>
      <c r="L37"/>
      <c r="M37"/>
      <c r="N37"/>
      <c r="O37"/>
      <c r="P37"/>
      <c r="Q37"/>
      <c r="R37"/>
      <c r="S37"/>
      <c r="T37"/>
      <c r="Y37"/>
      <c r="AC37"/>
      <c r="AD37"/>
      <c r="AE37"/>
      <c r="AF37"/>
      <c r="AG37"/>
      <c r="AH37"/>
      <c r="AI37"/>
      <c r="AJ37"/>
      <c r="AK37"/>
    </row>
    <row r="38" spans="8:37" ht="16.5" customHeight="1" x14ac:dyDescent="0.25">
      <c r="H38"/>
      <c r="I38"/>
      <c r="J38"/>
      <c r="K38"/>
      <c r="L38"/>
      <c r="M38"/>
      <c r="N38"/>
      <c r="O38"/>
      <c r="P38"/>
      <c r="Q38"/>
      <c r="R38"/>
      <c r="S38"/>
      <c r="T38"/>
      <c r="Y38"/>
      <c r="AC38"/>
      <c r="AD38"/>
      <c r="AE38"/>
      <c r="AF38"/>
      <c r="AG38"/>
      <c r="AH38"/>
      <c r="AI38"/>
      <c r="AJ38"/>
      <c r="AK38"/>
    </row>
    <row r="39" spans="8:37" ht="16.5" customHeight="1" x14ac:dyDescent="0.25">
      <c r="H39"/>
      <c r="I39"/>
      <c r="J39"/>
      <c r="K39"/>
      <c r="L39"/>
      <c r="M39"/>
      <c r="N39"/>
      <c r="O39"/>
      <c r="P39"/>
      <c r="Q39"/>
      <c r="R39"/>
      <c r="S39"/>
      <c r="T39"/>
      <c r="Y39"/>
      <c r="AC39"/>
      <c r="AD39"/>
      <c r="AE39"/>
      <c r="AF39"/>
      <c r="AG39"/>
      <c r="AH39"/>
      <c r="AI39"/>
      <c r="AJ39"/>
      <c r="AK39"/>
    </row>
    <row r="40" spans="8:37" ht="16.5" customHeight="1" x14ac:dyDescent="0.25">
      <c r="H40"/>
      <c r="I40"/>
      <c r="J40"/>
      <c r="K40"/>
      <c r="L40"/>
      <c r="M40"/>
      <c r="N40"/>
      <c r="O40"/>
      <c r="P40"/>
      <c r="Q40"/>
      <c r="R40"/>
      <c r="S40"/>
      <c r="T40"/>
      <c r="Y40"/>
      <c r="AC40"/>
      <c r="AD40"/>
      <c r="AE40"/>
      <c r="AF40"/>
      <c r="AG40"/>
      <c r="AH40"/>
      <c r="AI40"/>
      <c r="AJ40"/>
      <c r="AK40"/>
    </row>
    <row r="41" spans="8:37" ht="16.5" customHeight="1" x14ac:dyDescent="0.25">
      <c r="H41"/>
      <c r="I41"/>
      <c r="J41"/>
      <c r="K41"/>
      <c r="L41"/>
      <c r="M41"/>
      <c r="N41"/>
      <c r="O41"/>
      <c r="P41"/>
      <c r="Q41"/>
      <c r="R41"/>
      <c r="S41"/>
      <c r="T41"/>
      <c r="Y41"/>
      <c r="AC41"/>
      <c r="AD41"/>
      <c r="AE41"/>
      <c r="AF41"/>
      <c r="AG41"/>
      <c r="AH41"/>
      <c r="AI41"/>
      <c r="AJ41"/>
      <c r="AK41"/>
    </row>
    <row r="42" spans="8:37" ht="16.5" customHeight="1" x14ac:dyDescent="0.25">
      <c r="H42"/>
      <c r="I42"/>
      <c r="J42"/>
      <c r="K42"/>
      <c r="L42"/>
      <c r="M42"/>
      <c r="N42"/>
      <c r="O42"/>
      <c r="P42"/>
      <c r="Q42"/>
      <c r="R42"/>
      <c r="S42"/>
      <c r="T42"/>
      <c r="Y42"/>
      <c r="AC42"/>
      <c r="AD42"/>
      <c r="AE42"/>
      <c r="AF42"/>
      <c r="AG42"/>
      <c r="AH42"/>
      <c r="AI42"/>
      <c r="AJ42"/>
      <c r="AK42"/>
    </row>
    <row r="43" spans="8:37" ht="16.5" customHeight="1" x14ac:dyDescent="0.25">
      <c r="H43"/>
      <c r="I43"/>
      <c r="J43"/>
      <c r="K43"/>
      <c r="L43"/>
      <c r="M43"/>
      <c r="N43"/>
      <c r="O43"/>
      <c r="P43"/>
      <c r="Q43"/>
      <c r="R43"/>
      <c r="S43"/>
      <c r="T43"/>
      <c r="Y43"/>
      <c r="AE43"/>
      <c r="AF43"/>
      <c r="AG43"/>
      <c r="AH43"/>
      <c r="AI43"/>
    </row>
    <row r="44" spans="8:37" ht="16.5" customHeight="1" x14ac:dyDescent="0.25">
      <c r="H44"/>
      <c r="I44"/>
      <c r="J44"/>
      <c r="K44"/>
      <c r="L44"/>
      <c r="M44"/>
      <c r="N44"/>
      <c r="O44"/>
      <c r="P44"/>
      <c r="Q44"/>
      <c r="R44"/>
      <c r="S44"/>
      <c r="T44"/>
      <c r="Y44"/>
      <c r="AE44"/>
      <c r="AF44"/>
      <c r="AG44"/>
      <c r="AH44"/>
      <c r="AI44"/>
    </row>
    <row r="45" spans="8:37" ht="16.5" customHeight="1" x14ac:dyDescent="0.25">
      <c r="H45"/>
      <c r="I45"/>
      <c r="J45"/>
      <c r="K45"/>
      <c r="L45"/>
      <c r="M45"/>
      <c r="N45"/>
      <c r="O45"/>
      <c r="P45"/>
      <c r="Q45"/>
      <c r="R45"/>
      <c r="S45"/>
      <c r="T45"/>
      <c r="Y45"/>
      <c r="AE45"/>
      <c r="AF45"/>
      <c r="AG45"/>
      <c r="AH45"/>
    </row>
    <row r="46" spans="8:37" ht="16.5" customHeight="1" x14ac:dyDescent="0.25">
      <c r="H46"/>
      <c r="I46"/>
      <c r="J46"/>
      <c r="K46"/>
      <c r="L46"/>
      <c r="M46"/>
      <c r="N46"/>
      <c r="O46"/>
      <c r="P46"/>
      <c r="Q46"/>
      <c r="R46"/>
      <c r="S46"/>
      <c r="T46"/>
      <c r="Y46"/>
    </row>
    <row r="47" spans="8:37" ht="16.5" customHeight="1" x14ac:dyDescent="0.25">
      <c r="H47"/>
      <c r="I47"/>
      <c r="J47"/>
      <c r="K47"/>
      <c r="L47"/>
      <c r="M47"/>
      <c r="N47"/>
      <c r="O47"/>
      <c r="P47"/>
      <c r="Q47"/>
      <c r="R47"/>
      <c r="S47"/>
      <c r="T47"/>
      <c r="Y47"/>
    </row>
    <row r="48" spans="8:37" ht="16.5" customHeight="1" x14ac:dyDescent="0.25">
      <c r="H48"/>
      <c r="I48"/>
      <c r="J48"/>
      <c r="K48"/>
      <c r="L48"/>
      <c r="M48"/>
      <c r="N48"/>
      <c r="O48"/>
      <c r="P48"/>
      <c r="Q48"/>
      <c r="R48"/>
      <c r="S48"/>
      <c r="T48"/>
      <c r="Y48"/>
    </row>
    <row r="49" spans="8:20" ht="16.5" customHeight="1" x14ac:dyDescent="0.25">
      <c r="H49"/>
      <c r="I49"/>
      <c r="J49"/>
      <c r="K49"/>
      <c r="L49"/>
      <c r="M49"/>
      <c r="N49"/>
      <c r="O49"/>
      <c r="P49"/>
      <c r="Q49"/>
      <c r="R49"/>
      <c r="S49"/>
      <c r="T49"/>
    </row>
    <row r="50" spans="8:20" ht="16.5" customHeight="1" x14ac:dyDescent="0.25">
      <c r="H50"/>
      <c r="I50"/>
      <c r="J50"/>
      <c r="K50"/>
      <c r="L50"/>
      <c r="M50"/>
      <c r="N50"/>
      <c r="O50"/>
      <c r="P50"/>
      <c r="Q50"/>
      <c r="R50"/>
      <c r="S50"/>
      <c r="T50"/>
    </row>
    <row r="51" spans="8:20" ht="16.5" customHeight="1" x14ac:dyDescent="0.25">
      <c r="H51"/>
      <c r="I51"/>
      <c r="J51"/>
      <c r="K51"/>
      <c r="L51"/>
      <c r="M51"/>
      <c r="N51"/>
      <c r="O51"/>
      <c r="P51"/>
      <c r="Q51"/>
      <c r="R51"/>
      <c r="S51"/>
      <c r="T51"/>
    </row>
    <row r="52" spans="8:20" ht="16.5" customHeight="1" x14ac:dyDescent="0.25">
      <c r="H52"/>
      <c r="I52"/>
      <c r="J52"/>
      <c r="K52"/>
      <c r="L52"/>
      <c r="M52"/>
      <c r="N52"/>
      <c r="O52"/>
      <c r="P52"/>
      <c r="Q52"/>
      <c r="R52"/>
      <c r="S52"/>
      <c r="T52"/>
    </row>
    <row r="53" spans="8:20" ht="16.5" customHeight="1" x14ac:dyDescent="0.25">
      <c r="H53"/>
      <c r="I53"/>
      <c r="J53"/>
      <c r="K53"/>
      <c r="L53"/>
      <c r="M53"/>
      <c r="N53"/>
      <c r="O53"/>
      <c r="P53"/>
      <c r="Q53"/>
      <c r="R53"/>
      <c r="S53"/>
      <c r="T53"/>
    </row>
    <row r="54" spans="8:20" ht="16.5" customHeight="1" x14ac:dyDescent="0.25">
      <c r="H54"/>
      <c r="I54"/>
      <c r="J54"/>
      <c r="K54"/>
      <c r="L54"/>
      <c r="M54"/>
      <c r="N54"/>
      <c r="O54"/>
      <c r="P54"/>
      <c r="Q54"/>
      <c r="R54"/>
      <c r="S54"/>
      <c r="T54"/>
    </row>
    <row r="55" spans="8:20" ht="16.5" customHeight="1" x14ac:dyDescent="0.25">
      <c r="L55"/>
      <c r="M55"/>
      <c r="N55"/>
      <c r="O55"/>
      <c r="P55"/>
      <c r="Q55"/>
      <c r="R55"/>
      <c r="S55"/>
      <c r="T55"/>
    </row>
    <row r="56" spans="8:20" ht="16.5" customHeight="1" x14ac:dyDescent="0.25">
      <c r="L56"/>
      <c r="M56"/>
      <c r="N56"/>
      <c r="O56"/>
      <c r="P56"/>
      <c r="Q56"/>
      <c r="R56"/>
      <c r="S56"/>
      <c r="T56"/>
    </row>
    <row r="57" spans="8:20" ht="16.5" customHeight="1" x14ac:dyDescent="0.25">
      <c r="L57"/>
      <c r="M57"/>
      <c r="N57"/>
      <c r="O57"/>
      <c r="P57"/>
      <c r="Q57"/>
      <c r="R57"/>
      <c r="S57"/>
      <c r="T57"/>
    </row>
    <row r="58" spans="8:20" ht="16.5" customHeight="1" x14ac:dyDescent="0.25">
      <c r="L58"/>
      <c r="M58"/>
      <c r="N58"/>
      <c r="O58"/>
      <c r="P58"/>
      <c r="Q58"/>
      <c r="R58"/>
      <c r="S58"/>
      <c r="T58"/>
    </row>
    <row r="59" spans="8:20" ht="16.5" customHeight="1" x14ac:dyDescent="0.25">
      <c r="L59"/>
      <c r="M59"/>
      <c r="N59"/>
      <c r="O59"/>
      <c r="P59"/>
      <c r="Q59"/>
      <c r="R59"/>
      <c r="S59"/>
      <c r="T59"/>
    </row>
    <row r="60" spans="8:20" ht="16.5" customHeight="1" x14ac:dyDescent="0.25">
      <c r="L60"/>
      <c r="M60"/>
      <c r="N60"/>
      <c r="O60"/>
      <c r="P60"/>
      <c r="Q60"/>
      <c r="R60"/>
      <c r="S60"/>
      <c r="T60"/>
    </row>
    <row r="61" spans="8:20" ht="16.5" customHeight="1" x14ac:dyDescent="0.25">
      <c r="L61"/>
      <c r="M61"/>
      <c r="N61"/>
      <c r="O61"/>
      <c r="P61"/>
      <c r="Q61"/>
      <c r="R61"/>
      <c r="S61"/>
      <c r="T61"/>
    </row>
    <row r="62" spans="8:20" ht="16.5" customHeight="1" x14ac:dyDescent="0.25">
      <c r="L62"/>
      <c r="M62"/>
      <c r="N62"/>
      <c r="O62"/>
      <c r="P62"/>
      <c r="Q62"/>
      <c r="R62"/>
      <c r="S62"/>
      <c r="T62"/>
    </row>
    <row r="63" spans="8:20" ht="16.5" customHeight="1" x14ac:dyDescent="0.25">
      <c r="L63"/>
      <c r="M63"/>
      <c r="N63"/>
      <c r="O63"/>
      <c r="P63"/>
      <c r="Q63"/>
      <c r="R63"/>
      <c r="S63"/>
      <c r="T63"/>
    </row>
    <row r="64" spans="8:20" ht="16.5" customHeight="1" x14ac:dyDescent="0.25">
      <c r="L64"/>
      <c r="M64"/>
      <c r="N64"/>
      <c r="O64"/>
      <c r="P64"/>
      <c r="Q64"/>
      <c r="R64"/>
      <c r="S64"/>
      <c r="T64"/>
    </row>
    <row r="65" spans="12:20" ht="16.5" customHeight="1" x14ac:dyDescent="0.25">
      <c r="L65"/>
      <c r="M65"/>
      <c r="N65"/>
      <c r="O65"/>
      <c r="P65"/>
      <c r="Q65"/>
      <c r="R65"/>
      <c r="S65"/>
      <c r="T65"/>
    </row>
    <row r="66" spans="12:20" ht="16.5" customHeight="1" x14ac:dyDescent="0.25">
      <c r="L66"/>
      <c r="M66"/>
      <c r="N66"/>
      <c r="O66"/>
      <c r="P66"/>
      <c r="Q66"/>
      <c r="R66"/>
      <c r="S66"/>
      <c r="T66"/>
    </row>
    <row r="67" spans="12:20" ht="16.5" customHeight="1" x14ac:dyDescent="0.25">
      <c r="L67"/>
      <c r="M67"/>
      <c r="N67"/>
      <c r="O67"/>
      <c r="P67"/>
      <c r="Q67"/>
      <c r="R67"/>
      <c r="S67"/>
      <c r="T67"/>
    </row>
    <row r="68" spans="12:20" ht="16.5" customHeight="1" x14ac:dyDescent="0.25">
      <c r="L68"/>
      <c r="M68"/>
      <c r="N68"/>
      <c r="O68"/>
      <c r="P68"/>
      <c r="Q68"/>
      <c r="R68"/>
      <c r="S68"/>
      <c r="T68"/>
    </row>
    <row r="69" spans="12:20" ht="16.5" customHeight="1" x14ac:dyDescent="0.25">
      <c r="L69"/>
      <c r="M69"/>
      <c r="N69"/>
      <c r="O69"/>
      <c r="P69"/>
      <c r="Q69"/>
      <c r="R69"/>
      <c r="S69"/>
      <c r="T69"/>
    </row>
    <row r="70" spans="12:20" ht="16.5" customHeight="1" x14ac:dyDescent="0.25">
      <c r="L70"/>
      <c r="M70"/>
      <c r="N70"/>
      <c r="O70"/>
      <c r="P70"/>
      <c r="Q70"/>
      <c r="R70"/>
      <c r="S70"/>
      <c r="T70"/>
    </row>
    <row r="71" spans="12:20" ht="16.5" customHeight="1" x14ac:dyDescent="0.25">
      <c r="L71"/>
      <c r="M71"/>
      <c r="N71"/>
      <c r="O71"/>
      <c r="P71"/>
      <c r="Q71"/>
      <c r="R71"/>
      <c r="S71"/>
      <c r="T71"/>
    </row>
    <row r="72" spans="12:20" ht="16.5" customHeight="1" x14ac:dyDescent="0.25">
      <c r="L72"/>
      <c r="M72"/>
      <c r="N72"/>
      <c r="O72"/>
      <c r="P72"/>
      <c r="Q72"/>
      <c r="R72"/>
      <c r="S72"/>
      <c r="T72"/>
    </row>
    <row r="73" spans="12:20" ht="16.5" customHeight="1" x14ac:dyDescent="0.25">
      <c r="L73"/>
      <c r="M73"/>
      <c r="N73"/>
      <c r="O73"/>
      <c r="P73"/>
      <c r="Q73"/>
      <c r="R73"/>
      <c r="S73"/>
      <c r="T73"/>
    </row>
    <row r="74" spans="12:20" ht="16.5" customHeight="1" x14ac:dyDescent="0.25">
      <c r="L74"/>
      <c r="M74"/>
      <c r="N74"/>
      <c r="O74"/>
      <c r="P74"/>
      <c r="Q74"/>
      <c r="R74"/>
      <c r="S74"/>
      <c r="T74"/>
    </row>
    <row r="75" spans="12:20" ht="16.5" customHeight="1" x14ac:dyDescent="0.25">
      <c r="L75"/>
      <c r="M75"/>
      <c r="N75"/>
      <c r="O75"/>
      <c r="P75"/>
      <c r="Q75"/>
      <c r="R75"/>
      <c r="S75"/>
      <c r="T75"/>
    </row>
    <row r="76" spans="12:20" ht="16.5" customHeight="1" x14ac:dyDescent="0.25">
      <c r="L76"/>
      <c r="M76"/>
      <c r="N76"/>
      <c r="O76"/>
      <c r="P76"/>
      <c r="Q76"/>
      <c r="R76"/>
      <c r="S76"/>
      <c r="T76"/>
    </row>
    <row r="77" spans="12:20" ht="16.5" customHeight="1" x14ac:dyDescent="0.25">
      <c r="L77"/>
      <c r="M77"/>
      <c r="N77"/>
      <c r="O77"/>
      <c r="P77"/>
      <c r="Q77"/>
      <c r="R77"/>
      <c r="S77"/>
      <c r="T77"/>
    </row>
    <row r="78" spans="12:20" ht="16.5" customHeight="1" x14ac:dyDescent="0.25">
      <c r="L78"/>
      <c r="M78"/>
      <c r="N78"/>
      <c r="O78"/>
      <c r="P78"/>
      <c r="Q78"/>
      <c r="R78"/>
      <c r="S78"/>
      <c r="T78"/>
    </row>
    <row r="79" spans="12:20" ht="16.5" customHeight="1" x14ac:dyDescent="0.25">
      <c r="L79"/>
      <c r="M79"/>
      <c r="N79"/>
      <c r="O79"/>
      <c r="P79"/>
      <c r="Q79"/>
      <c r="R79"/>
      <c r="S79"/>
      <c r="T79"/>
    </row>
    <row r="80" spans="12:20" ht="16.5" customHeight="1" x14ac:dyDescent="0.25">
      <c r="L80"/>
      <c r="M80"/>
      <c r="N80"/>
      <c r="O80"/>
      <c r="P80"/>
      <c r="Q80"/>
      <c r="R80"/>
      <c r="S80"/>
      <c r="T80"/>
    </row>
    <row r="81" spans="12:20" ht="16.5" customHeight="1" x14ac:dyDescent="0.25">
      <c r="L81"/>
      <c r="M81"/>
      <c r="N81"/>
      <c r="O81"/>
      <c r="P81"/>
      <c r="Q81"/>
      <c r="R81"/>
      <c r="S81"/>
      <c r="T81"/>
    </row>
    <row r="82" spans="12:20" ht="16.5" customHeight="1" x14ac:dyDescent="0.25">
      <c r="L82"/>
      <c r="M82"/>
      <c r="N82"/>
      <c r="O82"/>
      <c r="P82"/>
      <c r="Q82"/>
      <c r="R82"/>
      <c r="S82"/>
      <c r="T82"/>
    </row>
  </sheetData>
  <sheetProtection selectLockedCells="1"/>
  <mergeCells count="7">
    <mergeCell ref="B6:M13"/>
    <mergeCell ref="B2:C2"/>
    <mergeCell ref="D2:M4"/>
    <mergeCell ref="P2:AA3"/>
    <mergeCell ref="B3:C3"/>
    <mergeCell ref="B4:C5"/>
    <mergeCell ref="D5:M5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49"/>
  <sheetViews>
    <sheetView topLeftCell="H1" zoomScaleNormal="100" workbookViewId="0">
      <selection activeCell="I44" sqref="I44"/>
    </sheetView>
  </sheetViews>
  <sheetFormatPr defaultRowHeight="15" x14ac:dyDescent="0.25"/>
  <cols>
    <col min="1" max="1" width="9.140625" style="18" customWidth="1"/>
    <col min="2" max="2" width="10.85546875" style="18" bestFit="1" customWidth="1"/>
    <col min="3" max="3" width="9.85546875" style="18" customWidth="1"/>
    <col min="4" max="4" width="9.5703125" style="18" customWidth="1"/>
    <col min="5" max="6" width="9.7109375" style="18" bestFit="1" customWidth="1"/>
    <col min="7" max="7" width="13.140625" style="18" bestFit="1" customWidth="1"/>
    <col min="8" max="8" width="14" style="18" customWidth="1"/>
    <col min="9" max="9" width="18" style="18" customWidth="1"/>
    <col min="10" max="10" width="13.85546875" style="18" customWidth="1"/>
    <col min="11" max="11" width="15" style="18" bestFit="1" customWidth="1"/>
    <col min="12" max="12" width="24.85546875" style="18" bestFit="1" customWidth="1"/>
    <col min="13" max="14" width="15.42578125" style="18" bestFit="1" customWidth="1"/>
    <col min="15" max="15" width="11.85546875" style="18" customWidth="1"/>
    <col min="16" max="18" width="20.7109375" style="18" bestFit="1" customWidth="1"/>
    <col min="19" max="22" width="9" style="18" bestFit="1" customWidth="1"/>
    <col min="23" max="26" width="9.140625" style="18"/>
    <col min="27" max="27" width="17.28515625" style="18" customWidth="1"/>
    <col min="28" max="16384" width="9.140625" style="18"/>
  </cols>
  <sheetData>
    <row r="1" spans="1:35" ht="15.75" x14ac:dyDescent="0.25">
      <c r="A1" s="162" t="s">
        <v>31</v>
      </c>
      <c r="B1" s="162" t="s">
        <v>6</v>
      </c>
      <c r="C1" s="162"/>
      <c r="D1" s="162" t="s">
        <v>32</v>
      </c>
      <c r="E1" s="162" t="s">
        <v>12</v>
      </c>
      <c r="F1" s="162" t="s">
        <v>113</v>
      </c>
      <c r="H1" s="214">
        <v>1</v>
      </c>
      <c r="I1" s="214">
        <v>1</v>
      </c>
      <c r="J1" s="214">
        <v>1</v>
      </c>
      <c r="K1" s="214">
        <v>1</v>
      </c>
      <c r="L1" s="214">
        <v>1</v>
      </c>
      <c r="M1" s="214">
        <v>1</v>
      </c>
      <c r="N1" s="214">
        <v>1</v>
      </c>
      <c r="O1" s="214">
        <v>1</v>
      </c>
      <c r="P1" s="214">
        <v>1</v>
      </c>
      <c r="Q1" s="214">
        <v>1</v>
      </c>
      <c r="R1" s="214">
        <v>1</v>
      </c>
      <c r="S1" s="214">
        <v>1</v>
      </c>
      <c r="T1" s="214">
        <v>1</v>
      </c>
      <c r="U1" s="214">
        <v>1</v>
      </c>
      <c r="V1" s="214">
        <v>1</v>
      </c>
      <c r="AA1" t="s">
        <v>38</v>
      </c>
      <c r="AB1"/>
      <c r="AC1"/>
      <c r="AD1"/>
      <c r="AE1"/>
      <c r="AF1"/>
      <c r="AG1"/>
      <c r="AH1"/>
      <c r="AI1"/>
    </row>
    <row r="2" spans="1:35" ht="16.5" thickBot="1" x14ac:dyDescent="0.3">
      <c r="A2" s="162">
        <v>1958</v>
      </c>
      <c r="B2" s="164">
        <v>16607.700000000012</v>
      </c>
      <c r="C2" s="165">
        <v>1</v>
      </c>
      <c r="D2" s="213">
        <f>LN('Questão 3 - Autocorrelação'!R13)</f>
        <v>5.6185876285929695</v>
      </c>
      <c r="E2" s="213">
        <f>LN('Questão 3 - Autocorrelação'!S13)</f>
        <v>9.7871615798477443</v>
      </c>
      <c r="F2" s="164">
        <f t="array" ref="F2">B2-($I$9+SUMPRODUCT(TRANSPOSE($I$10:$I$11),D2:E2))</f>
        <v>-2853.5786832915619</v>
      </c>
      <c r="H2" s="214">
        <v>5.6185876285929695</v>
      </c>
      <c r="I2" s="214">
        <v>5.6145868958517298</v>
      </c>
      <c r="J2" s="214">
        <v>5.5973102301456841</v>
      </c>
      <c r="K2" s="214">
        <v>5.5872486584002496</v>
      </c>
      <c r="L2" s="214">
        <v>5.5902404332570725</v>
      </c>
      <c r="M2" s="214">
        <v>5.6167710976665717</v>
      </c>
      <c r="N2" s="214">
        <v>5.6454468976432377</v>
      </c>
      <c r="O2" s="214">
        <v>5.7061130899944832</v>
      </c>
      <c r="P2" s="214">
        <v>5.7284750872465722</v>
      </c>
      <c r="Q2" s="214">
        <v>5.7160403720517028</v>
      </c>
      <c r="R2" s="214">
        <v>5.7193276859916633</v>
      </c>
      <c r="S2" s="214">
        <v>5.6991048851050898</v>
      </c>
      <c r="T2" s="214">
        <v>5.6886688368461531</v>
      </c>
      <c r="U2" s="214">
        <v>5.7004435733906869</v>
      </c>
      <c r="V2" s="214">
        <v>5.6633076420904827</v>
      </c>
      <c r="AA2"/>
      <c r="AB2"/>
      <c r="AC2"/>
      <c r="AD2"/>
      <c r="AE2"/>
      <c r="AF2"/>
      <c r="AG2"/>
      <c r="AH2"/>
      <c r="AI2"/>
    </row>
    <row r="3" spans="1:35" ht="15.75" x14ac:dyDescent="0.25">
      <c r="A3" s="162">
        <v>1959</v>
      </c>
      <c r="B3" s="164">
        <v>17511.299999999992</v>
      </c>
      <c r="C3" s="165">
        <v>1</v>
      </c>
      <c r="D3" s="213">
        <f>LN('Questão 3 - Autocorrelação'!R14)</f>
        <v>5.6145868958517298</v>
      </c>
      <c r="E3" s="213">
        <f>LN('Questão 3 - Autocorrelação'!S14)</f>
        <v>9.8034904060436254</v>
      </c>
      <c r="F3" s="164">
        <f t="array" ref="F3">B3-($I$9+SUMPRODUCT(TRANSPOSE($I$10:$I$11),D3:E3))</f>
        <v>-2012.3194711468495</v>
      </c>
      <c r="G3" s="173"/>
      <c r="H3" s="214">
        <v>9.7871615798477443</v>
      </c>
      <c r="I3" s="214">
        <v>9.8034904060436254</v>
      </c>
      <c r="J3" s="214">
        <v>9.8131141666865496</v>
      </c>
      <c r="K3" s="214">
        <v>9.8609609810496686</v>
      </c>
      <c r="L3" s="214">
        <v>9.8857104724334466</v>
      </c>
      <c r="M3" s="214">
        <v>9.9428765207645</v>
      </c>
      <c r="N3" s="214">
        <v>10.0022735030268</v>
      </c>
      <c r="O3" s="214">
        <v>10.062421062090841</v>
      </c>
      <c r="P3" s="214">
        <v>10.124188122199199</v>
      </c>
      <c r="Q3" s="214">
        <v>10.192931821407361</v>
      </c>
      <c r="R3" s="214">
        <v>10.307545003693294</v>
      </c>
      <c r="S3" s="214">
        <v>10.360466097465386</v>
      </c>
      <c r="T3" s="214">
        <v>10.418539233928032</v>
      </c>
      <c r="U3" s="214">
        <v>10.457998906414559</v>
      </c>
      <c r="V3" s="214">
        <v>10.640515245578118</v>
      </c>
      <c r="AA3" s="15" t="s">
        <v>39</v>
      </c>
      <c r="AB3" s="15"/>
      <c r="AC3"/>
      <c r="AD3"/>
      <c r="AE3"/>
      <c r="AF3"/>
      <c r="AG3"/>
      <c r="AH3"/>
      <c r="AI3"/>
    </row>
    <row r="4" spans="1:35" ht="15.75" x14ac:dyDescent="0.25">
      <c r="A4" s="162">
        <v>1960</v>
      </c>
      <c r="B4" s="164">
        <v>20171.199999999986</v>
      </c>
      <c r="C4" s="165">
        <v>1</v>
      </c>
      <c r="D4" s="213">
        <f>LN('Questão 3 - Autocorrelação'!R15)</f>
        <v>5.5973102301456841</v>
      </c>
      <c r="E4" s="213">
        <f>LN('Questão 3 - Autocorrelação'!S15)</f>
        <v>9.8131141666865496</v>
      </c>
      <c r="F4" s="164">
        <f t="array" ref="F4">B4-($I$9+SUMPRODUCT(TRANSPOSE($I$10:$I$11),D4:E4))</f>
        <v>1112.4229506281299</v>
      </c>
      <c r="AA4" s="12" t="s">
        <v>40</v>
      </c>
      <c r="AB4" s="12">
        <v>0.95370160904022616</v>
      </c>
      <c r="AC4"/>
      <c r="AD4"/>
      <c r="AE4"/>
      <c r="AF4"/>
      <c r="AG4"/>
      <c r="AH4"/>
      <c r="AI4"/>
    </row>
    <row r="5" spans="1:35" ht="15.75" x14ac:dyDescent="0.25">
      <c r="A5" s="162">
        <v>1961</v>
      </c>
      <c r="B5" s="164">
        <v>20932.900000000016</v>
      </c>
      <c r="C5" s="165">
        <v>1</v>
      </c>
      <c r="D5" s="213">
        <f>LN('Questão 3 - Autocorrelação'!R16)</f>
        <v>5.5872486584002496</v>
      </c>
      <c r="E5" s="213">
        <f>LN('Questão 3 - Autocorrelação'!S16)</f>
        <v>9.8609609810496686</v>
      </c>
      <c r="F5" s="164">
        <f t="array" ref="F5">B5-($I$9+SUMPRODUCT(TRANSPOSE($I$10:$I$11),D5:E5))</f>
        <v>1635.5936729967289</v>
      </c>
      <c r="H5" s="163">
        <f t="array" ref="H5:J7">MMULT(H1:V3,C2:E16)</f>
        <v>15</v>
      </c>
      <c r="I5" s="163">
        <v>84.891673014274346</v>
      </c>
      <c r="J5" s="163">
        <v>151.66019312262912</v>
      </c>
      <c r="L5" s="166">
        <f t="array" ref="L5:N7">MINVERSE(H5:J7)</f>
        <v>1072.1089559414127</v>
      </c>
      <c r="M5" s="166">
        <v>-225.24006070061526</v>
      </c>
      <c r="N5" s="166">
        <v>20.04725947521618</v>
      </c>
      <c r="P5" s="166">
        <f t="array" ref="P5:R7">MMULT(H1:V3,B2:B16)</f>
        <v>371025.99999999994</v>
      </c>
      <c r="Q5" s="166">
        <v>371025.99999999994</v>
      </c>
      <c r="R5" s="166">
        <v>371025.99999999994</v>
      </c>
      <c r="AA5" s="12" t="s">
        <v>41</v>
      </c>
      <c r="AB5" s="12">
        <v>0.90954675908591642</v>
      </c>
      <c r="AC5"/>
      <c r="AD5"/>
      <c r="AE5"/>
      <c r="AF5"/>
      <c r="AG5"/>
      <c r="AH5"/>
      <c r="AI5"/>
    </row>
    <row r="6" spans="1:35" ht="15.75" x14ac:dyDescent="0.25">
      <c r="A6" s="162">
        <v>1962</v>
      </c>
      <c r="B6" s="164">
        <v>20405.999999999985</v>
      </c>
      <c r="C6" s="165">
        <v>1</v>
      </c>
      <c r="D6" s="213">
        <f>LN('Questão 3 - Autocorrelação'!R17)</f>
        <v>5.5902404332570725</v>
      </c>
      <c r="E6" s="213">
        <f>LN('Questão 3 - Autocorrelação'!S17)</f>
        <v>9.8857104724334466</v>
      </c>
      <c r="F6" s="164">
        <f t="array" ref="F6">B6-($I$9+SUMPRODUCT(TRANSPOSE($I$10:$I$11),D6:E6))</f>
        <v>709.74309746034851</v>
      </c>
      <c r="H6" s="163">
        <v>84.891673014274346</v>
      </c>
      <c r="I6" s="163">
        <v>480.47715881864292</v>
      </c>
      <c r="J6" s="163">
        <v>858.45057851386082</v>
      </c>
      <c r="L6" s="166">
        <v>-225.24006070055</v>
      </c>
      <c r="M6" s="166">
        <v>52.065613032351422</v>
      </c>
      <c r="N6" s="166">
        <v>-6.8662452874490647</v>
      </c>
      <c r="P6" s="166">
        <v>2102723.7131145457</v>
      </c>
      <c r="Q6" s="166">
        <v>2102723.7131145457</v>
      </c>
      <c r="R6" s="166">
        <v>2102723.7131145457</v>
      </c>
      <c r="AA6" s="12" t="s">
        <v>42</v>
      </c>
      <c r="AB6" s="12">
        <v>0.89447121893356918</v>
      </c>
      <c r="AC6"/>
      <c r="AD6"/>
      <c r="AE6"/>
      <c r="AF6"/>
      <c r="AG6"/>
      <c r="AH6"/>
      <c r="AI6"/>
    </row>
    <row r="7" spans="1:35" ht="15.75" x14ac:dyDescent="0.25">
      <c r="A7" s="162">
        <v>1963</v>
      </c>
      <c r="B7" s="164">
        <v>20831.599999999999</v>
      </c>
      <c r="C7" s="165">
        <v>1</v>
      </c>
      <c r="D7" s="213">
        <f>LN('Questão 3 - Autocorrelação'!R18)</f>
        <v>5.6167710976665717</v>
      </c>
      <c r="E7" s="213">
        <f>LN('Questão 3 - Autocorrelação'!S18)</f>
        <v>9.9428765207645</v>
      </c>
      <c r="F7" s="164">
        <f t="array" ref="F7">B7-($I$9+SUMPRODUCT(TRANSPOSE($I$10:$I$11),D7:E7))</f>
        <v>-445.80353549347637</v>
      </c>
      <c r="H7" s="163">
        <v>151.66019312262912</v>
      </c>
      <c r="I7" s="163">
        <v>858.45057851386082</v>
      </c>
      <c r="J7" s="163">
        <v>1534.4346265580339</v>
      </c>
      <c r="L7" s="166">
        <v>20.047259475179676</v>
      </c>
      <c r="M7" s="166">
        <v>-6.8662452874426156</v>
      </c>
      <c r="N7" s="166">
        <v>1.8605947403846601</v>
      </c>
      <c r="P7" s="166">
        <v>3768589.4154287316</v>
      </c>
      <c r="Q7" s="166">
        <v>3768589.4154287316</v>
      </c>
      <c r="R7" s="166">
        <v>3768589.4154287316</v>
      </c>
      <c r="AA7" s="12" t="s">
        <v>43</v>
      </c>
      <c r="AB7" s="12">
        <v>1583.2552334461373</v>
      </c>
      <c r="AC7"/>
      <c r="AD7"/>
      <c r="AE7"/>
      <c r="AF7"/>
      <c r="AG7"/>
      <c r="AH7"/>
      <c r="AI7"/>
    </row>
    <row r="8" spans="1:35" ht="16.5" thickBot="1" x14ac:dyDescent="0.3">
      <c r="A8" s="162">
        <v>1964</v>
      </c>
      <c r="B8" s="164">
        <v>24806.299999999992</v>
      </c>
      <c r="C8" s="165">
        <v>1</v>
      </c>
      <c r="D8" s="213">
        <f>LN('Questão 3 - Autocorrelação'!R19)</f>
        <v>5.6454468976432377</v>
      </c>
      <c r="E8" s="213">
        <f>LN('Questão 3 - Autocorrelação'!S19)</f>
        <v>10.0022735030268</v>
      </c>
      <c r="F8" s="164">
        <f t="array" ref="F8">B8-($I$9+SUMPRODUCT(TRANSPOSE($I$10:$I$11),D8:E8))</f>
        <v>1848.7333490465571</v>
      </c>
      <c r="AA8" s="13" t="s">
        <v>44</v>
      </c>
      <c r="AB8" s="13">
        <v>15</v>
      </c>
      <c r="AC8"/>
      <c r="AD8"/>
      <c r="AE8"/>
      <c r="AF8"/>
      <c r="AG8"/>
      <c r="AH8"/>
      <c r="AI8"/>
    </row>
    <row r="9" spans="1:35" ht="15.75" x14ac:dyDescent="0.25">
      <c r="A9" s="162">
        <v>1965</v>
      </c>
      <c r="B9" s="164">
        <v>26465.799999999988</v>
      </c>
      <c r="C9" s="165">
        <v>1</v>
      </c>
      <c r="D9" s="213">
        <f>LN('Questão 3 - Autocorrelação'!R20)</f>
        <v>5.7061130899944832</v>
      </c>
      <c r="E9" s="213">
        <f>LN('Questão 3 - Autocorrelação'!S20)</f>
        <v>10.062421062090841</v>
      </c>
      <c r="F9" s="164">
        <f t="array" ref="F9">B9-($I$9+SUMPRODUCT(TRANSPOSE($I$10:$I$11),D9:E9))</f>
        <v>743.47004895051941</v>
      </c>
      <c r="H9" s="167" t="s">
        <v>37</v>
      </c>
      <c r="I9" s="170">
        <f t="array" ref="I9:I11">MMULT(L5:N7,P5:R7)</f>
        <v>-287429.42477183044</v>
      </c>
      <c r="K9" s="318" t="s">
        <v>151</v>
      </c>
      <c r="L9" s="319"/>
      <c r="M9" s="319"/>
      <c r="N9" s="319"/>
      <c r="O9" s="319"/>
      <c r="P9" s="319"/>
      <c r="Q9" s="320"/>
      <c r="AA9"/>
      <c r="AB9"/>
      <c r="AC9"/>
      <c r="AD9"/>
      <c r="AE9"/>
      <c r="AF9"/>
      <c r="AG9"/>
      <c r="AH9"/>
      <c r="AI9"/>
    </row>
    <row r="10" spans="1:35" ht="16.5" thickBot="1" x14ac:dyDescent="0.3">
      <c r="A10" s="162">
        <v>1966</v>
      </c>
      <c r="B10" s="164">
        <v>27403.000000000004</v>
      </c>
      <c r="C10" s="165">
        <v>1</v>
      </c>
      <c r="D10" s="213">
        <f>LN('Questão 3 - Autocorrelação'!R21)</f>
        <v>5.7284750872465722</v>
      </c>
      <c r="E10" s="213">
        <f>LN('Questão 3 - Autocorrelação'!S21)</f>
        <v>10.124188122199199</v>
      </c>
      <c r="F10" s="164">
        <f t="array" ref="F10">B10-($I$9+SUMPRODUCT(TRANSPOSE($I$10:$I$11),D10:E10))</f>
        <v>184.21170926076957</v>
      </c>
      <c r="H10" s="168" t="s">
        <v>87</v>
      </c>
      <c r="I10" s="171">
        <v>33621.085470851511</v>
      </c>
      <c r="K10" s="321" t="s">
        <v>162</v>
      </c>
      <c r="L10" s="322"/>
      <c r="M10" s="322"/>
      <c r="N10" s="322"/>
      <c r="O10" s="322"/>
      <c r="P10" s="322"/>
      <c r="Q10" s="323"/>
      <c r="AA10" t="s">
        <v>45</v>
      </c>
      <c r="AB10"/>
      <c r="AC10"/>
      <c r="AD10"/>
      <c r="AE10"/>
      <c r="AF10"/>
      <c r="AG10"/>
      <c r="AH10"/>
      <c r="AI10"/>
    </row>
    <row r="11" spans="1:35" ht="16.5" thickBot="1" x14ac:dyDescent="0.3">
      <c r="A11" s="162">
        <v>1967</v>
      </c>
      <c r="B11" s="164">
        <v>28628.700000000004</v>
      </c>
      <c r="C11" s="165">
        <v>1</v>
      </c>
      <c r="D11" s="213">
        <f>LN('Questão 3 - Autocorrelação'!R22)</f>
        <v>5.7160403720517028</v>
      </c>
      <c r="E11" s="213">
        <f>LN('Questão 3 - Autocorrelação'!S22)</f>
        <v>10.192931821407361</v>
      </c>
      <c r="F11" s="164">
        <f t="array" ref="F11">B11-($I$9+SUMPRODUCT(TRANSPOSE($I$10:$I$11),D11:E11))</f>
        <v>999.25076514312968</v>
      </c>
      <c r="H11" s="169" t="s">
        <v>88</v>
      </c>
      <c r="I11" s="172">
        <v>12055.353087423369</v>
      </c>
      <c r="K11" s="324" t="s">
        <v>171</v>
      </c>
      <c r="L11" s="325"/>
      <c r="M11" s="325"/>
      <c r="N11" s="325"/>
      <c r="O11" s="325"/>
      <c r="P11" s="325"/>
      <c r="Q11" s="326"/>
      <c r="AA11" s="14"/>
      <c r="AB11" s="14" t="s">
        <v>50</v>
      </c>
      <c r="AC11" s="14" t="s">
        <v>51</v>
      </c>
      <c r="AD11" s="14" t="s">
        <v>52</v>
      </c>
      <c r="AE11" s="14" t="s">
        <v>53</v>
      </c>
      <c r="AF11" s="14" t="s">
        <v>54</v>
      </c>
      <c r="AG11"/>
      <c r="AH11"/>
      <c r="AI11"/>
    </row>
    <row r="12" spans="1:35" ht="16.5" thickBot="1" x14ac:dyDescent="0.3">
      <c r="A12" s="162">
        <v>1968</v>
      </c>
      <c r="B12" s="164">
        <v>29904.499999999993</v>
      </c>
      <c r="C12" s="165">
        <v>1</v>
      </c>
      <c r="D12" s="213">
        <f>LN('Questão 3 - Autocorrelação'!R23)</f>
        <v>5.7193276859916633</v>
      </c>
      <c r="E12" s="213">
        <f>LN('Questão 3 - Autocorrelação'!S23)</f>
        <v>10.307545003693294</v>
      </c>
      <c r="F12" s="164">
        <f t="array" ref="F12">B12-($I$9+SUMPRODUCT(TRANSPOSE($I$10:$I$11),D12:E12))</f>
        <v>782.82532126805017</v>
      </c>
      <c r="AA12" s="12" t="s">
        <v>46</v>
      </c>
      <c r="AB12" s="12">
        <v>2</v>
      </c>
      <c r="AC12" s="12">
        <v>302471185.96251822</v>
      </c>
      <c r="AD12" s="12">
        <v>151235592.98125911</v>
      </c>
      <c r="AE12" s="12">
        <v>60.332614944102033</v>
      </c>
      <c r="AF12" s="12">
        <v>5.4770258759784298E-7</v>
      </c>
      <c r="AG12"/>
      <c r="AH12"/>
      <c r="AI12"/>
    </row>
    <row r="13" spans="1:35" ht="16.5" thickBot="1" x14ac:dyDescent="0.3">
      <c r="A13" s="162">
        <v>1969</v>
      </c>
      <c r="B13" s="164">
        <v>27508.199999999993</v>
      </c>
      <c r="C13" s="165">
        <v>1</v>
      </c>
      <c r="D13" s="213">
        <f>LN('Questão 3 - Autocorrelação'!R24)</f>
        <v>5.6991048851050898</v>
      </c>
      <c r="E13" s="213">
        <f>LN('Questão 3 - Autocorrelação'!S24)</f>
        <v>10.360466097465386</v>
      </c>
      <c r="F13" s="164">
        <f t="array" ref="F13">B13-($I$9+SUMPRODUCT(TRANSPOSE($I$10:$I$11),D13:E13))</f>
        <v>-1571.5446328596627</v>
      </c>
      <c r="H13" s="167" t="s">
        <v>64</v>
      </c>
      <c r="I13" s="176" t="s">
        <v>147</v>
      </c>
      <c r="K13" s="167" t="s">
        <v>148</v>
      </c>
      <c r="L13" s="176" t="s">
        <v>149</v>
      </c>
      <c r="AA13" s="12" t="s">
        <v>47</v>
      </c>
      <c r="AB13" s="12">
        <v>12</v>
      </c>
      <c r="AC13" s="12">
        <v>30080365.610814989</v>
      </c>
      <c r="AD13" s="12">
        <v>2506697.1342345825</v>
      </c>
      <c r="AE13" s="12"/>
      <c r="AF13" s="12"/>
      <c r="AG13"/>
      <c r="AH13"/>
      <c r="AI13"/>
    </row>
    <row r="14" spans="1:35" ht="16.5" thickBot="1" x14ac:dyDescent="0.3">
      <c r="A14" s="162">
        <v>1970</v>
      </c>
      <c r="B14" s="164">
        <v>29035.499999999978</v>
      </c>
      <c r="C14" s="165">
        <v>1</v>
      </c>
      <c r="D14" s="213">
        <f>LN('Questão 3 - Autocorrelação'!R25)</f>
        <v>5.6886688368461531</v>
      </c>
      <c r="E14" s="213">
        <f>LN('Questão 3 - Autocorrelação'!S25)</f>
        <v>10.418539233928032</v>
      </c>
      <c r="F14" s="164">
        <f t="array" ref="F14">B14-($I$9+SUMPRODUCT(TRANSPOSE($I$10:$I$11),D14:E14))</f>
        <v>-393.46552731937118</v>
      </c>
      <c r="H14" s="178">
        <f>COUNT(B2:B16)</f>
        <v>15</v>
      </c>
      <c r="I14" s="175">
        <f>AVERAGE(B2:B16)</f>
        <v>24735.066666666662</v>
      </c>
      <c r="K14" s="178">
        <f t="array" ref="K14">MMULT(TRANSPOSE(A2:A16),A2:A16)</f>
        <v>57918655</v>
      </c>
      <c r="L14" s="175">
        <f t="array" ref="L14">MMULT(TRANSPOSE(I9:I11),MMULT(H1:V3,A2:A16))</f>
        <v>729349510.92091513</v>
      </c>
      <c r="AA14" s="13" t="s">
        <v>48</v>
      </c>
      <c r="AB14" s="13">
        <v>14</v>
      </c>
      <c r="AC14" s="13">
        <v>332551551.5733332</v>
      </c>
      <c r="AD14" s="13"/>
      <c r="AE14" s="13"/>
      <c r="AF14" s="13"/>
      <c r="AG14"/>
      <c r="AH14"/>
      <c r="AI14"/>
    </row>
    <row r="15" spans="1:35" ht="16.5" thickBot="1" x14ac:dyDescent="0.3">
      <c r="A15" s="162">
        <v>1971</v>
      </c>
      <c r="B15" s="164">
        <v>29281.500000000011</v>
      </c>
      <c r="C15" s="165">
        <v>1</v>
      </c>
      <c r="D15" s="213">
        <f>LN('Questão 3 - Autocorrelação'!R26)</f>
        <v>5.7004435733906869</v>
      </c>
      <c r="E15" s="213">
        <f>LN('Questão 3 - Autocorrelação'!S26)</f>
        <v>10.457998906414559</v>
      </c>
      <c r="F15" s="164">
        <f t="array" ref="F15">B15-($I$9+SUMPRODUCT(TRANSPOSE($I$10:$I$11),D15:E15))</f>
        <v>-1019.0452356189962</v>
      </c>
      <c r="AA15"/>
      <c r="AB15"/>
      <c r="AC15"/>
      <c r="AD15"/>
      <c r="AE15"/>
      <c r="AF15"/>
      <c r="AG15"/>
      <c r="AH15"/>
      <c r="AI15"/>
    </row>
    <row r="16" spans="1:35" ht="16.5" thickBot="1" x14ac:dyDescent="0.3">
      <c r="A16" s="162">
        <v>1972</v>
      </c>
      <c r="B16" s="164">
        <v>31531.8</v>
      </c>
      <c r="C16" s="165">
        <v>1</v>
      </c>
      <c r="D16" s="213">
        <f>LN('Questão 3 - Autocorrelação'!R27)</f>
        <v>5.6633076420904827</v>
      </c>
      <c r="E16" s="213">
        <f>LN('Questão 3 - Autocorrelação'!S27)</f>
        <v>10.640515245578118</v>
      </c>
      <c r="F16" s="164">
        <f t="array" ref="F16">B16-($I$9+SUMPRODUCT(TRANSPOSE($I$10:$I$11),D16:E16))</f>
        <v>279.50617182418864</v>
      </c>
      <c r="K16" s="167" t="s">
        <v>78</v>
      </c>
      <c r="L16" s="179">
        <f>K14-H14*I14^2</f>
        <v>-9119434190.0666637</v>
      </c>
      <c r="N16" s="339" t="s">
        <v>66</v>
      </c>
      <c r="O16" s="340"/>
      <c r="P16" s="340"/>
      <c r="Q16" s="340"/>
      <c r="R16" s="340"/>
      <c r="S16" s="184"/>
      <c r="AA16" s="14"/>
      <c r="AB16" s="14" t="s">
        <v>55</v>
      </c>
      <c r="AC16" s="14" t="s">
        <v>43</v>
      </c>
      <c r="AD16" s="14" t="s">
        <v>56</v>
      </c>
      <c r="AE16" s="14" t="s">
        <v>57</v>
      </c>
      <c r="AF16" s="14" t="s">
        <v>58</v>
      </c>
      <c r="AG16" s="14" t="s">
        <v>59</v>
      </c>
      <c r="AH16" s="14" t="s">
        <v>60</v>
      </c>
      <c r="AI16" s="14" t="s">
        <v>61</v>
      </c>
    </row>
    <row r="17" spans="11:35" ht="16.5" thickBot="1" x14ac:dyDescent="0.3">
      <c r="K17" s="168" t="s">
        <v>79</v>
      </c>
      <c r="L17" s="180">
        <f>L14-H14*I14^2</f>
        <v>-8448003334.1457481</v>
      </c>
      <c r="N17" s="167" t="s">
        <v>67</v>
      </c>
      <c r="O17" s="174" t="s">
        <v>68</v>
      </c>
      <c r="P17" s="185" t="s">
        <v>51</v>
      </c>
      <c r="Q17" s="185" t="s">
        <v>69</v>
      </c>
      <c r="R17" s="185" t="s">
        <v>70</v>
      </c>
      <c r="S17" s="188" t="s">
        <v>91</v>
      </c>
      <c r="AA17" s="12" t="s">
        <v>49</v>
      </c>
      <c r="AB17" s="12">
        <v>-28075.861599451433</v>
      </c>
      <c r="AC17" s="12">
        <v>9431.921625414021</v>
      </c>
      <c r="AD17" s="12">
        <v>-2.9766852094913396</v>
      </c>
      <c r="AE17" s="12">
        <v>1.1556722040795357E-2</v>
      </c>
      <c r="AF17" s="12">
        <v>-48626.253445319278</v>
      </c>
      <c r="AG17" s="12">
        <v>-7525.469753583584</v>
      </c>
      <c r="AH17" s="12">
        <v>-48626.253445319278</v>
      </c>
      <c r="AI17" s="12">
        <v>-7525.469753583584</v>
      </c>
    </row>
    <row r="18" spans="11:35" ht="15.75" customHeight="1" x14ac:dyDescent="0.25">
      <c r="K18" s="168" t="s">
        <v>80</v>
      </c>
      <c r="L18" s="180">
        <f>K14-L14</f>
        <v>-671430855.92091513</v>
      </c>
      <c r="N18" s="186" t="s">
        <v>46</v>
      </c>
      <c r="O18" s="36">
        <v>2</v>
      </c>
      <c r="P18" s="36">
        <f>L17</f>
        <v>-8448003334.1457481</v>
      </c>
      <c r="Q18" s="36">
        <f>P18/O18</f>
        <v>-4224001667.0728741</v>
      </c>
      <c r="R18" s="36">
        <f>Q18/Q19</f>
        <v>75.492538893453542</v>
      </c>
      <c r="S18" s="37">
        <f>_xlfn.F.INV(5%,O18,O19)</f>
        <v>5.15131706772015E-2</v>
      </c>
      <c r="U18" s="341" t="s">
        <v>150</v>
      </c>
      <c r="V18" s="341"/>
      <c r="W18" s="341"/>
      <c r="X18" s="341"/>
      <c r="AA18" s="12" t="s">
        <v>32</v>
      </c>
      <c r="AB18" s="12">
        <v>147.97784982574257</v>
      </c>
      <c r="AC18" s="12">
        <v>36.442877824945114</v>
      </c>
      <c r="AD18" s="12">
        <v>4.0605423791326345</v>
      </c>
      <c r="AE18" s="12">
        <v>1.5801680463823496E-3</v>
      </c>
      <c r="AF18" s="12">
        <v>68.575640070756805</v>
      </c>
      <c r="AG18" s="12">
        <v>227.38005958072833</v>
      </c>
      <c r="AH18" s="12">
        <v>68.575640070756805</v>
      </c>
      <c r="AI18" s="12">
        <v>227.38005958072833</v>
      </c>
    </row>
    <row r="19" spans="11:35" ht="16.5" thickBot="1" x14ac:dyDescent="0.3">
      <c r="K19" s="168" t="s">
        <v>81</v>
      </c>
      <c r="L19" s="180" t="b">
        <f>L17+L18=L16</f>
        <v>1</v>
      </c>
      <c r="N19" s="186" t="s">
        <v>71</v>
      </c>
      <c r="O19" s="182">
        <f>H14-(O18+1)</f>
        <v>12</v>
      </c>
      <c r="P19" s="36">
        <f>L18</f>
        <v>-671430855.92091513</v>
      </c>
      <c r="Q19" s="36">
        <f>P19/O19</f>
        <v>-55952571.326742925</v>
      </c>
      <c r="R19" s="36"/>
      <c r="S19" s="59"/>
      <c r="U19" s="341"/>
      <c r="V19" s="341"/>
      <c r="W19" s="341"/>
      <c r="X19" s="341"/>
      <c r="AA19" s="13" t="s">
        <v>12</v>
      </c>
      <c r="AB19" s="13">
        <v>0.4034239346179383</v>
      </c>
      <c r="AC19" s="13">
        <v>7.3559384597116195E-2</v>
      </c>
      <c r="AD19" s="13">
        <v>5.4843299305382445</v>
      </c>
      <c r="AE19" s="13">
        <v>1.3972792416282388E-4</v>
      </c>
      <c r="AF19" s="13">
        <v>0.24315180371531561</v>
      </c>
      <c r="AG19" s="13">
        <v>0.56369606552056095</v>
      </c>
      <c r="AH19" s="13">
        <v>0.24315180371531561</v>
      </c>
      <c r="AI19" s="13">
        <v>0.56369606552056095</v>
      </c>
    </row>
    <row r="20" spans="11:35" ht="16.5" thickBot="1" x14ac:dyDescent="0.3">
      <c r="K20" s="168" t="s">
        <v>82</v>
      </c>
      <c r="L20" s="181">
        <f>L17/L16</f>
        <v>0.92637362780113364</v>
      </c>
      <c r="N20" s="187" t="s">
        <v>48</v>
      </c>
      <c r="O20" s="183">
        <f>H14-1</f>
        <v>14</v>
      </c>
      <c r="P20" s="38">
        <f>L16</f>
        <v>-9119434190.0666637</v>
      </c>
      <c r="Q20" s="38">
        <f>P20/O20</f>
        <v>-651388156.43333316</v>
      </c>
      <c r="R20" s="38"/>
      <c r="S20" s="39"/>
      <c r="U20" s="341"/>
      <c r="V20" s="341"/>
      <c r="W20" s="341"/>
      <c r="X20" s="341"/>
      <c r="AA20"/>
      <c r="AB20"/>
      <c r="AC20"/>
      <c r="AD20"/>
      <c r="AE20"/>
      <c r="AF20"/>
      <c r="AG20"/>
      <c r="AH20"/>
      <c r="AI20"/>
    </row>
    <row r="21" spans="11:35" ht="16.5" thickBot="1" x14ac:dyDescent="0.3">
      <c r="K21" s="169" t="s">
        <v>83</v>
      </c>
      <c r="L21" s="189">
        <f>1-(Q19/Q20)</f>
        <v>0.91410256576798932</v>
      </c>
      <c r="AA21"/>
      <c r="AB21"/>
      <c r="AC21"/>
      <c r="AD21"/>
      <c r="AE21"/>
      <c r="AF21"/>
      <c r="AG21"/>
      <c r="AH21"/>
      <c r="AI21"/>
    </row>
    <row r="22" spans="11:35" x14ac:dyDescent="0.25">
      <c r="AA22"/>
      <c r="AB22"/>
      <c r="AC22"/>
      <c r="AD22"/>
      <c r="AE22"/>
      <c r="AF22"/>
      <c r="AG22"/>
      <c r="AH22"/>
      <c r="AI22"/>
    </row>
    <row r="33" spans="1:35" s="204" customFormat="1" x14ac:dyDescent="0.25"/>
    <row r="34" spans="1:35" ht="15.75" x14ac:dyDescent="0.25">
      <c r="A34" s="162" t="s">
        <v>31</v>
      </c>
      <c r="B34" s="162" t="s">
        <v>152</v>
      </c>
      <c r="C34" s="162"/>
      <c r="D34" s="162" t="s">
        <v>153</v>
      </c>
      <c r="E34" s="162" t="s">
        <v>154</v>
      </c>
      <c r="AA34"/>
      <c r="AB34"/>
      <c r="AC34"/>
      <c r="AD34"/>
      <c r="AE34"/>
      <c r="AF34"/>
      <c r="AG34"/>
      <c r="AH34"/>
      <c r="AI34"/>
    </row>
    <row r="35" spans="1:35" ht="15.75" x14ac:dyDescent="0.25">
      <c r="A35" s="162">
        <f>A2</f>
        <v>1958</v>
      </c>
      <c r="B35" s="164">
        <f>F2</f>
        <v>-2853.5786832915619</v>
      </c>
      <c r="C35" s="165"/>
      <c r="D35" s="165"/>
      <c r="E35" s="162"/>
      <c r="G35" s="163">
        <v>1</v>
      </c>
      <c r="H35" s="163">
        <v>1</v>
      </c>
      <c r="I35" s="163">
        <v>1</v>
      </c>
      <c r="J35" s="163">
        <v>1</v>
      </c>
      <c r="K35" s="163">
        <v>1</v>
      </c>
      <c r="L35" s="163">
        <v>1</v>
      </c>
      <c r="M35" s="163">
        <v>1</v>
      </c>
      <c r="N35" s="163">
        <v>1</v>
      </c>
      <c r="O35" s="163">
        <v>1</v>
      </c>
      <c r="P35" s="163">
        <v>1</v>
      </c>
      <c r="Q35" s="163">
        <v>1</v>
      </c>
      <c r="R35" s="163">
        <v>1</v>
      </c>
      <c r="S35" s="163">
        <v>1</v>
      </c>
      <c r="T35" s="163">
        <v>1</v>
      </c>
      <c r="AA35" t="s">
        <v>38</v>
      </c>
      <c r="AB35"/>
      <c r="AC35"/>
      <c r="AD35"/>
      <c r="AE35"/>
      <c r="AF35"/>
      <c r="AG35"/>
      <c r="AH35"/>
      <c r="AI35"/>
    </row>
    <row r="36" spans="1:35" ht="16.5" thickBot="1" x14ac:dyDescent="0.3">
      <c r="A36" s="162">
        <f t="shared" ref="A36:A49" si="0">A3</f>
        <v>1959</v>
      </c>
      <c r="B36" s="164">
        <f t="shared" ref="B36:B49" si="1">F3</f>
        <v>-2012.3194711468495</v>
      </c>
      <c r="C36" s="165">
        <v>1</v>
      </c>
      <c r="D36" s="165">
        <f>B35</f>
        <v>-2853.5786832915619</v>
      </c>
      <c r="E36" s="201">
        <f>B36-$H$42*D36</f>
        <v>-1204.5802293947745</v>
      </c>
      <c r="G36" s="163">
        <v>-2853.5786832915619</v>
      </c>
      <c r="H36" s="163">
        <v>-2012.3194711468495</v>
      </c>
      <c r="I36" s="163">
        <v>1112.4229506281299</v>
      </c>
      <c r="J36" s="163">
        <v>1635.5936729967289</v>
      </c>
      <c r="K36" s="163">
        <v>709.74309746034851</v>
      </c>
      <c r="L36" s="163">
        <v>-445.80353549347637</v>
      </c>
      <c r="M36" s="163">
        <v>1848.7333490465571</v>
      </c>
      <c r="N36" s="163">
        <v>743.47004895051941</v>
      </c>
      <c r="O36" s="163">
        <v>184.21170926076957</v>
      </c>
      <c r="P36" s="163">
        <v>999.25076514312968</v>
      </c>
      <c r="Q36" s="163">
        <v>782.82532126805017</v>
      </c>
      <c r="R36" s="163">
        <v>-1571.5446328596627</v>
      </c>
      <c r="S36" s="163">
        <v>-393.46552731937118</v>
      </c>
      <c r="T36" s="163">
        <v>-1019.0452356189962</v>
      </c>
      <c r="AA36"/>
      <c r="AB36"/>
      <c r="AC36"/>
      <c r="AD36"/>
      <c r="AE36"/>
      <c r="AF36"/>
      <c r="AG36"/>
      <c r="AH36"/>
      <c r="AI36"/>
    </row>
    <row r="37" spans="1:35" ht="15.75" x14ac:dyDescent="0.25">
      <c r="A37" s="162">
        <f t="shared" si="0"/>
        <v>1960</v>
      </c>
      <c r="B37" s="164">
        <f t="shared" si="1"/>
        <v>1112.4229506281299</v>
      </c>
      <c r="C37" s="165">
        <v>1</v>
      </c>
      <c r="D37" s="165">
        <f t="shared" ref="D37:D49" si="2">B36</f>
        <v>-2012.3194711468495</v>
      </c>
      <c r="E37" s="201">
        <f t="shared" ref="E37:E49" si="3">B37-$H$42*D37</f>
        <v>1682.0338091982476</v>
      </c>
      <c r="AA37" s="15" t="s">
        <v>39</v>
      </c>
      <c r="AB37" s="15"/>
      <c r="AC37"/>
      <c r="AD37"/>
      <c r="AE37"/>
      <c r="AF37"/>
      <c r="AG37"/>
      <c r="AH37"/>
      <c r="AI37"/>
    </row>
    <row r="38" spans="1:35" ht="15.75" x14ac:dyDescent="0.25">
      <c r="A38" s="162">
        <f t="shared" si="0"/>
        <v>1961</v>
      </c>
      <c r="B38" s="164">
        <f t="shared" si="1"/>
        <v>1635.5936729967289</v>
      </c>
      <c r="C38" s="165">
        <v>1</v>
      </c>
      <c r="D38" s="165">
        <f t="shared" si="2"/>
        <v>1112.4229506281299</v>
      </c>
      <c r="E38" s="201">
        <f t="shared" si="3"/>
        <v>1320.7091821960371</v>
      </c>
      <c r="G38" s="163">
        <f t="array" ref="G38:H39">MMULT(G35:T36,C36:D49)</f>
        <v>14</v>
      </c>
      <c r="H38" s="163">
        <v>-279.50617097568465</v>
      </c>
      <c r="J38" s="191">
        <f t="array" ref="J38:K39">MINVERSE(G38:H39)</f>
        <v>7.1443854375263474E-2</v>
      </c>
      <c r="K38" s="191">
        <v>7.6549742333616386E-7</v>
      </c>
      <c r="M38" s="191">
        <f t="array" ref="M38:N39">MMULT(G35:T36,B36:B49)</f>
        <v>2853.5786841400659</v>
      </c>
      <c r="N38" s="191">
        <v>2853.5786841400659</v>
      </c>
      <c r="AA38" s="12" t="s">
        <v>40</v>
      </c>
      <c r="AB38" s="12">
        <v>0.37718623854638517</v>
      </c>
      <c r="AC38"/>
      <c r="AD38"/>
      <c r="AE38"/>
      <c r="AF38"/>
      <c r="AG38"/>
      <c r="AH38"/>
      <c r="AI38"/>
    </row>
    <row r="39" spans="1:35" ht="15.75" x14ac:dyDescent="0.25">
      <c r="A39" s="162">
        <f t="shared" si="0"/>
        <v>1962</v>
      </c>
      <c r="B39" s="164">
        <f t="shared" si="1"/>
        <v>709.74309746034851</v>
      </c>
      <c r="C39" s="165">
        <v>1</v>
      </c>
      <c r="D39" s="165">
        <f t="shared" si="2"/>
        <v>1635.5936729967289</v>
      </c>
      <c r="E39" s="201">
        <f t="shared" si="3"/>
        <v>246.76893768811436</v>
      </c>
      <c r="G39" s="163">
        <v>-279.50617097568465</v>
      </c>
      <c r="H39" s="163">
        <v>26086303.581721183</v>
      </c>
      <c r="J39" s="191">
        <v>7.6549742333623289E-7</v>
      </c>
      <c r="K39" s="191">
        <v>3.8342494869780783E-8</v>
      </c>
      <c r="M39" s="191">
        <v>7325486.6957423016</v>
      </c>
      <c r="N39" s="191">
        <v>7325486.6957423016</v>
      </c>
      <c r="AA39" s="12" t="s">
        <v>41</v>
      </c>
      <c r="AB39" s="12">
        <v>0.14226945854877057</v>
      </c>
      <c r="AC39"/>
      <c r="AD39"/>
      <c r="AE39"/>
      <c r="AF39"/>
      <c r="AG39"/>
      <c r="AH39"/>
      <c r="AI39"/>
    </row>
    <row r="40" spans="1:35" ht="16.5" thickBot="1" x14ac:dyDescent="0.3">
      <c r="A40" s="162">
        <f t="shared" si="0"/>
        <v>1963</v>
      </c>
      <c r="B40" s="164">
        <f t="shared" si="1"/>
        <v>-445.80353549347637</v>
      </c>
      <c r="C40" s="165">
        <v>1</v>
      </c>
      <c r="D40" s="165">
        <f t="shared" si="2"/>
        <v>709.74309746034851</v>
      </c>
      <c r="E40" s="201">
        <f t="shared" si="3"/>
        <v>-646.70472484498646</v>
      </c>
      <c r="AA40" s="12" t="s">
        <v>42</v>
      </c>
      <c r="AB40" s="12">
        <v>6.5346381625693645E-2</v>
      </c>
      <c r="AC40"/>
      <c r="AD40"/>
      <c r="AE40"/>
      <c r="AF40"/>
      <c r="AG40"/>
      <c r="AH40"/>
      <c r="AI40"/>
    </row>
    <row r="41" spans="1:35" ht="15.75" x14ac:dyDescent="0.25">
      <c r="A41" s="162">
        <f t="shared" si="0"/>
        <v>1964</v>
      </c>
      <c r="B41" s="164">
        <f t="shared" si="1"/>
        <v>1848.7333490465571</v>
      </c>
      <c r="C41" s="165">
        <v>1</v>
      </c>
      <c r="D41" s="165">
        <f t="shared" si="2"/>
        <v>-445.80353549347637</v>
      </c>
      <c r="E41" s="201">
        <f t="shared" si="3"/>
        <v>1974.9233194995647</v>
      </c>
      <c r="G41" s="167" t="s">
        <v>37</v>
      </c>
      <c r="H41" s="192">
        <f t="array" ref="H41:H42">MMULT(J38:K39,M38:N39)</f>
        <v>209.47830114833292</v>
      </c>
      <c r="J41" s="177" t="s">
        <v>156</v>
      </c>
      <c r="K41" s="200">
        <f t="array" ref="K41">SUMPRODUCT(B36:B49,D36:D49)/SUMPRODUCT(D36:D49,D36:D49)</f>
        <v>0.28081735201745145</v>
      </c>
      <c r="AA41" s="12" t="s">
        <v>43</v>
      </c>
      <c r="AB41" s="12">
        <v>1131.6191523903997</v>
      </c>
      <c r="AC41"/>
      <c r="AD41"/>
      <c r="AE41"/>
      <c r="AF41"/>
      <c r="AG41"/>
      <c r="AH41"/>
      <c r="AI41"/>
    </row>
    <row r="42" spans="1:35" ht="16.5" thickBot="1" x14ac:dyDescent="0.3">
      <c r="A42" s="162">
        <f t="shared" si="0"/>
        <v>1965</v>
      </c>
      <c r="B42" s="164">
        <f t="shared" si="1"/>
        <v>743.47004895051941</v>
      </c>
      <c r="C42" s="165">
        <v>1</v>
      </c>
      <c r="D42" s="165">
        <f t="shared" si="2"/>
        <v>1848.7333490465571</v>
      </c>
      <c r="E42" s="201">
        <f t="shared" si="3"/>
        <v>220.16417962080232</v>
      </c>
      <c r="G42" s="193" t="s">
        <v>87</v>
      </c>
      <c r="H42" s="194">
        <v>0.28306184318014299</v>
      </c>
      <c r="J42" s="195" t="s">
        <v>157</v>
      </c>
      <c r="K42" s="196">
        <f t="array" ref="K42">SUMPRODUCT(E36:E49,E36:E49)/(H44-1)</f>
        <v>1228040.2784588984</v>
      </c>
      <c r="AA42" s="13" t="s">
        <v>44</v>
      </c>
      <c r="AB42" s="13">
        <v>14</v>
      </c>
      <c r="AC42"/>
      <c r="AD42"/>
      <c r="AE42"/>
      <c r="AF42"/>
      <c r="AG42"/>
      <c r="AH42"/>
      <c r="AI42"/>
    </row>
    <row r="43" spans="1:35" ht="16.5" thickBot="1" x14ac:dyDescent="0.3">
      <c r="A43" s="162">
        <f t="shared" si="0"/>
        <v>1966</v>
      </c>
      <c r="B43" s="164">
        <f t="shared" si="1"/>
        <v>184.21170926076957</v>
      </c>
      <c r="C43" s="165">
        <v>1</v>
      </c>
      <c r="D43" s="165">
        <f t="shared" si="2"/>
        <v>743.47004895051941</v>
      </c>
      <c r="E43" s="201">
        <f t="shared" si="3"/>
        <v>-26.236293144395603</v>
      </c>
      <c r="J43" s="195" t="s">
        <v>158</v>
      </c>
      <c r="K43" s="197">
        <f t="array" ref="K43">SQRT(K42/SUMPRODUCT(D36:D49,D36:D49))</f>
        <v>0.21697017220072967</v>
      </c>
      <c r="AA43"/>
      <c r="AB43"/>
      <c r="AC43"/>
      <c r="AD43"/>
      <c r="AE43"/>
      <c r="AF43"/>
      <c r="AG43"/>
      <c r="AH43"/>
      <c r="AI43"/>
    </row>
    <row r="44" spans="1:35" ht="16.5" customHeight="1" thickBot="1" x14ac:dyDescent="0.3">
      <c r="A44" s="162">
        <f t="shared" si="0"/>
        <v>1967</v>
      </c>
      <c r="B44" s="164">
        <f t="shared" si="1"/>
        <v>999.25076514312968</v>
      </c>
      <c r="C44" s="165">
        <v>1</v>
      </c>
      <c r="D44" s="165">
        <f t="shared" si="2"/>
        <v>184.21170926076957</v>
      </c>
      <c r="E44" s="201">
        <f t="shared" si="3"/>
        <v>947.1074591844116</v>
      </c>
      <c r="G44" s="174" t="s">
        <v>64</v>
      </c>
      <c r="H44" s="199">
        <f>COUNT(B36:B49)</f>
        <v>14</v>
      </c>
      <c r="J44" s="195" t="s">
        <v>89</v>
      </c>
      <c r="K44" s="196">
        <f>K41/K43</f>
        <v>1.2942670836692411</v>
      </c>
      <c r="M44" s="297" t="s">
        <v>159</v>
      </c>
      <c r="N44" s="298"/>
      <c r="O44" s="299"/>
      <c r="AA44" t="s">
        <v>45</v>
      </c>
      <c r="AB44"/>
      <c r="AC44"/>
      <c r="AD44"/>
      <c r="AE44"/>
      <c r="AF44"/>
      <c r="AG44"/>
      <c r="AH44"/>
      <c r="AI44"/>
    </row>
    <row r="45" spans="1:35" ht="16.5" thickBot="1" x14ac:dyDescent="0.3">
      <c r="A45" s="162">
        <f t="shared" si="0"/>
        <v>1968</v>
      </c>
      <c r="B45" s="164">
        <f t="shared" si="1"/>
        <v>782.82532126805017</v>
      </c>
      <c r="C45" s="165">
        <v>1</v>
      </c>
      <c r="D45" s="165">
        <f t="shared" si="2"/>
        <v>999.25076514312968</v>
      </c>
      <c r="E45" s="201">
        <f t="shared" si="3"/>
        <v>499.97555788746769</v>
      </c>
      <c r="J45" s="193" t="s">
        <v>90</v>
      </c>
      <c r="K45" s="198">
        <f>TINV(5%,H44-1)</f>
        <v>2.1603686564627926</v>
      </c>
      <c r="M45" s="328"/>
      <c r="N45" s="329"/>
      <c r="O45" s="330"/>
      <c r="AA45" s="14"/>
      <c r="AB45" s="14" t="s">
        <v>50</v>
      </c>
      <c r="AC45" s="14" t="s">
        <v>51</v>
      </c>
      <c r="AD45" s="14" t="s">
        <v>52</v>
      </c>
      <c r="AE45" s="14" t="s">
        <v>53</v>
      </c>
      <c r="AF45" s="14" t="s">
        <v>54</v>
      </c>
      <c r="AG45"/>
      <c r="AH45"/>
      <c r="AI45"/>
    </row>
    <row r="46" spans="1:35" ht="16.5" thickBot="1" x14ac:dyDescent="0.3">
      <c r="A46" s="162">
        <f t="shared" si="0"/>
        <v>1969</v>
      </c>
      <c r="B46" s="164">
        <f t="shared" si="1"/>
        <v>-1571.5446328596627</v>
      </c>
      <c r="C46" s="165">
        <v>1</v>
      </c>
      <c r="D46" s="165">
        <f t="shared" si="2"/>
        <v>782.82532126805017</v>
      </c>
      <c r="E46" s="201">
        <f t="shared" si="3"/>
        <v>-1793.1326111858846</v>
      </c>
      <c r="M46" s="300"/>
      <c r="N46" s="301"/>
      <c r="O46" s="302"/>
      <c r="AA46" s="12" t="s">
        <v>46</v>
      </c>
      <c r="AB46" s="12">
        <v>1</v>
      </c>
      <c r="AC46" s="12">
        <v>2761243.6805155762</v>
      </c>
      <c r="AD46" s="12">
        <v>2761243.6805155762</v>
      </c>
      <c r="AE46" s="12">
        <v>2.1562750441470433</v>
      </c>
      <c r="AF46" s="12">
        <v>0.16770806101113914</v>
      </c>
      <c r="AG46"/>
      <c r="AH46"/>
      <c r="AI46"/>
    </row>
    <row r="47" spans="1:35" ht="15.75" x14ac:dyDescent="0.25">
      <c r="A47" s="162">
        <f t="shared" si="0"/>
        <v>1970</v>
      </c>
      <c r="B47" s="164">
        <f t="shared" si="1"/>
        <v>-393.46552731937118</v>
      </c>
      <c r="C47" s="165">
        <v>1</v>
      </c>
      <c r="D47" s="165">
        <f t="shared" si="2"/>
        <v>-1571.5446328596627</v>
      </c>
      <c r="E47" s="201">
        <f t="shared" si="3"/>
        <v>51.378793097746041</v>
      </c>
      <c r="AA47" s="12" t="s">
        <v>47</v>
      </c>
      <c r="AB47" s="12">
        <v>13</v>
      </c>
      <c r="AC47" s="12">
        <v>16647304.778737962</v>
      </c>
      <c r="AD47" s="12">
        <v>1280561.9060567664</v>
      </c>
      <c r="AE47" s="12"/>
      <c r="AF47" s="12"/>
      <c r="AG47"/>
      <c r="AH47"/>
      <c r="AI47"/>
    </row>
    <row r="48" spans="1:35" ht="16.5" thickBot="1" x14ac:dyDescent="0.3">
      <c r="A48" s="162">
        <f t="shared" si="0"/>
        <v>1971</v>
      </c>
      <c r="B48" s="164">
        <f t="shared" si="1"/>
        <v>-1019.0452356189962</v>
      </c>
      <c r="C48" s="165">
        <v>1</v>
      </c>
      <c r="D48" s="165">
        <f t="shared" si="2"/>
        <v>-393.46552731937118</v>
      </c>
      <c r="E48" s="201">
        <f t="shared" si="3"/>
        <v>-907.67015822812812</v>
      </c>
      <c r="AA48" s="13" t="s">
        <v>48</v>
      </c>
      <c r="AB48" s="13">
        <v>14</v>
      </c>
      <c r="AC48" s="13">
        <v>19408548.459253538</v>
      </c>
      <c r="AD48" s="13"/>
      <c r="AE48" s="13"/>
      <c r="AF48" s="13"/>
      <c r="AG48"/>
      <c r="AH48"/>
      <c r="AI48"/>
    </row>
    <row r="49" spans="1:35" ht="16.5" thickBot="1" x14ac:dyDescent="0.3">
      <c r="A49" s="162">
        <f t="shared" si="0"/>
        <v>1972</v>
      </c>
      <c r="B49" s="164">
        <f t="shared" si="1"/>
        <v>279.50617182418864</v>
      </c>
      <c r="C49" s="165">
        <v>1</v>
      </c>
      <c r="D49" s="165">
        <f t="shared" si="2"/>
        <v>-1019.0452356189962</v>
      </c>
      <c r="E49" s="201">
        <f t="shared" si="3"/>
        <v>567.95899450244474</v>
      </c>
      <c r="AA49"/>
      <c r="AB49"/>
      <c r="AC49"/>
      <c r="AD49"/>
      <c r="AE49"/>
      <c r="AF49"/>
      <c r="AG49"/>
      <c r="AH49"/>
      <c r="AI49"/>
    </row>
    <row r="50" spans="1:35" x14ac:dyDescent="0.25">
      <c r="AA50" s="14"/>
      <c r="AB50" s="14" t="s">
        <v>55</v>
      </c>
      <c r="AC50" s="14" t="s">
        <v>43</v>
      </c>
      <c r="AD50" s="14" t="s">
        <v>56</v>
      </c>
      <c r="AE50" s="14" t="s">
        <v>57</v>
      </c>
      <c r="AF50" s="14" t="s">
        <v>58</v>
      </c>
      <c r="AG50" s="14" t="s">
        <v>59</v>
      </c>
      <c r="AH50" s="14" t="s">
        <v>60</v>
      </c>
      <c r="AI50" s="14" t="s">
        <v>61</v>
      </c>
    </row>
    <row r="51" spans="1:35" x14ac:dyDescent="0.25">
      <c r="AA51" s="12" t="s">
        <v>49</v>
      </c>
      <c r="AB51" s="12">
        <v>0</v>
      </c>
      <c r="AC51" s="12" t="e">
        <v>#N/A</v>
      </c>
      <c r="AD51" s="12" t="e">
        <v>#N/A</v>
      </c>
      <c r="AE51" s="12" t="e">
        <v>#N/A</v>
      </c>
      <c r="AF51" s="12" t="e">
        <v>#N/A</v>
      </c>
      <c r="AG51" s="12" t="e">
        <v>#N/A</v>
      </c>
      <c r="AH51" s="12" t="e">
        <v>#N/A</v>
      </c>
      <c r="AI51" s="12" t="e">
        <v>#N/A</v>
      </c>
    </row>
    <row r="52" spans="1:35" ht="15.75" thickBot="1" x14ac:dyDescent="0.3">
      <c r="AA52" s="13" t="s">
        <v>155</v>
      </c>
      <c r="AB52" s="13">
        <v>0.30304375987883236</v>
      </c>
      <c r="AC52" s="13">
        <v>0.20637318528658086</v>
      </c>
      <c r="AD52" s="13">
        <v>1.4684260431315705</v>
      </c>
      <c r="AE52" s="13">
        <v>0.16576596502918434</v>
      </c>
      <c r="AF52" s="13">
        <v>-0.14279840114868531</v>
      </c>
      <c r="AG52" s="13">
        <v>0.74888592090635009</v>
      </c>
      <c r="AH52" s="13">
        <v>-0.14279840114868531</v>
      </c>
      <c r="AI52" s="13">
        <v>0.74888592090635009</v>
      </c>
    </row>
    <row r="53" spans="1:35" x14ac:dyDescent="0.25">
      <c r="AA53"/>
      <c r="AB53"/>
      <c r="AC53"/>
      <c r="AD53"/>
      <c r="AE53"/>
      <c r="AF53"/>
      <c r="AG53"/>
      <c r="AH53"/>
      <c r="AI53"/>
    </row>
    <row r="54" spans="1:35" s="204" customFormat="1" ht="15.75" thickBot="1" x14ac:dyDescent="0.3">
      <c r="AA54" s="205"/>
      <c r="AB54" s="205"/>
      <c r="AC54" s="205"/>
      <c r="AD54" s="205"/>
      <c r="AE54" s="205"/>
      <c r="AF54" s="205"/>
      <c r="AG54" s="205"/>
      <c r="AH54" s="205"/>
      <c r="AI54" s="205"/>
    </row>
    <row r="55" spans="1:35" ht="16.5" customHeight="1" thickBot="1" x14ac:dyDescent="0.3">
      <c r="A55" s="202" t="s">
        <v>174</v>
      </c>
      <c r="E55" s="226"/>
      <c r="F55" s="226"/>
      <c r="AA55"/>
      <c r="AB55"/>
      <c r="AC55"/>
      <c r="AD55"/>
      <c r="AE55"/>
      <c r="AF55"/>
      <c r="AG55"/>
      <c r="AH55"/>
      <c r="AI55"/>
    </row>
    <row r="56" spans="1:35" ht="15.75" x14ac:dyDescent="0.25">
      <c r="A56" s="209" t="s">
        <v>156</v>
      </c>
      <c r="B56" s="210">
        <f>K41</f>
        <v>0.28081735201745145</v>
      </c>
      <c r="D56" s="297" t="s">
        <v>172</v>
      </c>
      <c r="E56" s="298"/>
      <c r="F56" s="299"/>
    </row>
    <row r="57" spans="1:35" ht="16.5" thickBot="1" x14ac:dyDescent="0.3">
      <c r="A57" s="211" t="s">
        <v>161</v>
      </c>
      <c r="B57" s="212">
        <f t="array" ref="B57">SUMSQ(B60:B73)/SUMSQ(B35:B49)</f>
        <v>1.1258356948936403</v>
      </c>
      <c r="D57" s="300"/>
      <c r="E57" s="301"/>
      <c r="F57" s="302"/>
    </row>
    <row r="58" spans="1:35" ht="15.75" x14ac:dyDescent="0.25">
      <c r="A58" s="207" t="s">
        <v>31</v>
      </c>
      <c r="B58" s="208" t="s">
        <v>160</v>
      </c>
    </row>
    <row r="59" spans="1:35" ht="15.75" x14ac:dyDescent="0.25">
      <c r="A59" s="162">
        <f t="shared" ref="A59:A73" si="4">A35</f>
        <v>1958</v>
      </c>
      <c r="B59" s="164"/>
    </row>
    <row r="60" spans="1:35" ht="15.75" x14ac:dyDescent="0.25">
      <c r="A60" s="162">
        <f t="shared" si="4"/>
        <v>1959</v>
      </c>
      <c r="B60" s="164">
        <f t="shared" ref="B60:B73" si="5">B36-D36</f>
        <v>841.25921214471236</v>
      </c>
    </row>
    <row r="61" spans="1:35" ht="15.75" x14ac:dyDescent="0.25">
      <c r="A61" s="162">
        <f t="shared" si="4"/>
        <v>1960</v>
      </c>
      <c r="B61" s="164">
        <f t="shared" si="5"/>
        <v>3124.7424217749794</v>
      </c>
    </row>
    <row r="62" spans="1:35" ht="15.75" x14ac:dyDescent="0.25">
      <c r="A62" s="162">
        <f t="shared" si="4"/>
        <v>1961</v>
      </c>
      <c r="B62" s="164">
        <f t="shared" si="5"/>
        <v>523.17072236859894</v>
      </c>
    </row>
    <row r="63" spans="1:35" ht="15.75" x14ac:dyDescent="0.25">
      <c r="A63" s="162">
        <f t="shared" si="4"/>
        <v>1962</v>
      </c>
      <c r="B63" s="164">
        <f t="shared" si="5"/>
        <v>-925.85057553638035</v>
      </c>
    </row>
    <row r="64" spans="1:35" ht="15.75" x14ac:dyDescent="0.25">
      <c r="A64" s="162">
        <f t="shared" si="4"/>
        <v>1963</v>
      </c>
      <c r="B64" s="164">
        <f t="shared" si="5"/>
        <v>-1155.5466329538249</v>
      </c>
    </row>
    <row r="65" spans="1:18" ht="15.75" x14ac:dyDescent="0.25">
      <c r="A65" s="162">
        <f t="shared" si="4"/>
        <v>1964</v>
      </c>
      <c r="B65" s="164">
        <f t="shared" si="5"/>
        <v>2294.5368845400335</v>
      </c>
    </row>
    <row r="66" spans="1:18" ht="15.75" x14ac:dyDescent="0.25">
      <c r="A66" s="162">
        <f t="shared" si="4"/>
        <v>1965</v>
      </c>
      <c r="B66" s="164">
        <f t="shared" si="5"/>
        <v>-1105.2633000960377</v>
      </c>
    </row>
    <row r="67" spans="1:18" ht="15.75" x14ac:dyDescent="0.25">
      <c r="A67" s="162">
        <f t="shared" si="4"/>
        <v>1966</v>
      </c>
      <c r="B67" s="164">
        <f t="shared" si="5"/>
        <v>-559.25833968974985</v>
      </c>
    </row>
    <row r="68" spans="1:18" ht="15.75" x14ac:dyDescent="0.25">
      <c r="A68" s="162">
        <f t="shared" si="4"/>
        <v>1967</v>
      </c>
      <c r="B68" s="164">
        <f t="shared" si="5"/>
        <v>815.03905588236012</v>
      </c>
    </row>
    <row r="69" spans="1:18" ht="15.75" x14ac:dyDescent="0.25">
      <c r="A69" s="162">
        <f t="shared" si="4"/>
        <v>1968</v>
      </c>
      <c r="B69" s="164">
        <f t="shared" si="5"/>
        <v>-216.42544387507951</v>
      </c>
    </row>
    <row r="70" spans="1:18" ht="15.75" x14ac:dyDescent="0.25">
      <c r="A70" s="162">
        <f t="shared" si="4"/>
        <v>1969</v>
      </c>
      <c r="B70" s="164">
        <f t="shared" si="5"/>
        <v>-2354.3699541277128</v>
      </c>
    </row>
    <row r="71" spans="1:18" ht="15.75" x14ac:dyDescent="0.25">
      <c r="A71" s="162">
        <f t="shared" si="4"/>
        <v>1970</v>
      </c>
      <c r="B71" s="164">
        <f t="shared" si="5"/>
        <v>1178.0791055402915</v>
      </c>
    </row>
    <row r="72" spans="1:18" ht="15.75" x14ac:dyDescent="0.25">
      <c r="A72" s="162">
        <f t="shared" si="4"/>
        <v>1971</v>
      </c>
      <c r="B72" s="164">
        <f t="shared" si="5"/>
        <v>-625.57970829962505</v>
      </c>
    </row>
    <row r="73" spans="1:18" ht="15.75" x14ac:dyDescent="0.25">
      <c r="A73" s="162">
        <f t="shared" si="4"/>
        <v>1972</v>
      </c>
      <c r="B73" s="164">
        <f t="shared" si="5"/>
        <v>1298.5514074431849</v>
      </c>
    </row>
    <row r="76" spans="1:18" s="204" customFormat="1" x14ac:dyDescent="0.25"/>
    <row r="77" spans="1:18" ht="15.75" x14ac:dyDescent="0.25">
      <c r="A77" s="202" t="s">
        <v>173</v>
      </c>
      <c r="J77" t="s">
        <v>38</v>
      </c>
      <c r="K77"/>
      <c r="L77"/>
      <c r="M77"/>
      <c r="N77"/>
      <c r="O77"/>
      <c r="P77"/>
      <c r="Q77"/>
      <c r="R77"/>
    </row>
    <row r="78" spans="1:18" ht="15.75" thickBot="1" x14ac:dyDescent="0.3">
      <c r="A78" s="216"/>
      <c r="B78" s="227" t="s">
        <v>6</v>
      </c>
      <c r="C78" s="216"/>
      <c r="E78" s="227" t="s">
        <v>62</v>
      </c>
      <c r="F78" s="227" t="s">
        <v>63</v>
      </c>
      <c r="G78" s="227" t="s">
        <v>180</v>
      </c>
      <c r="H78" s="216"/>
      <c r="J78"/>
      <c r="K78"/>
      <c r="L78"/>
      <c r="M78"/>
      <c r="N78"/>
      <c r="O78"/>
      <c r="P78"/>
      <c r="Q78"/>
      <c r="R78"/>
    </row>
    <row r="79" spans="1:18" x14ac:dyDescent="0.25">
      <c r="A79" s="206" t="s">
        <v>31</v>
      </c>
      <c r="B79" s="228" t="s">
        <v>152</v>
      </c>
      <c r="C79" s="206" t="s">
        <v>176</v>
      </c>
      <c r="D79" s="206" t="s">
        <v>177</v>
      </c>
      <c r="E79" s="228" t="s">
        <v>178</v>
      </c>
      <c r="F79" s="228" t="s">
        <v>179</v>
      </c>
      <c r="G79" s="228" t="s">
        <v>153</v>
      </c>
      <c r="H79" s="206" t="s">
        <v>175</v>
      </c>
      <c r="J79" s="15" t="s">
        <v>39</v>
      </c>
      <c r="K79" s="15"/>
      <c r="L79"/>
      <c r="M79"/>
      <c r="N79"/>
      <c r="O79"/>
      <c r="P79"/>
      <c r="Q79"/>
      <c r="R79"/>
    </row>
    <row r="80" spans="1:18" ht="15.75" thickBot="1" x14ac:dyDescent="0.3">
      <c r="A80" s="206">
        <f>A2</f>
        <v>1958</v>
      </c>
      <c r="B80" s="229">
        <f>F2</f>
        <v>-2853.5786832915619</v>
      </c>
      <c r="C80" s="230">
        <f>D2</f>
        <v>5.6185876285929695</v>
      </c>
      <c r="D80" s="230">
        <f>E2</f>
        <v>9.7871615798477443</v>
      </c>
      <c r="E80" s="229"/>
      <c r="F80" s="229"/>
      <c r="G80" s="229"/>
      <c r="H80" s="230"/>
      <c r="J80" s="12" t="s">
        <v>40</v>
      </c>
      <c r="K80" s="12">
        <v>0.45218772774994703</v>
      </c>
      <c r="L80"/>
      <c r="M80"/>
      <c r="N80"/>
      <c r="O80"/>
      <c r="P80"/>
      <c r="Q80"/>
      <c r="R80"/>
    </row>
    <row r="81" spans="1:18" x14ac:dyDescent="0.25">
      <c r="A81" s="206">
        <f t="shared" ref="A81:A94" si="6">A3</f>
        <v>1959</v>
      </c>
      <c r="B81" s="229">
        <f t="shared" ref="B81:B94" si="7">B36</f>
        <v>-2012.3194711468495</v>
      </c>
      <c r="C81" s="230">
        <f t="shared" ref="C81:D94" si="8">D3</f>
        <v>5.6145868958517298</v>
      </c>
      <c r="D81" s="230">
        <f t="shared" si="8"/>
        <v>9.8034904060436254</v>
      </c>
      <c r="E81" s="229">
        <f>C80</f>
        <v>5.6185876285929695</v>
      </c>
      <c r="F81" s="229">
        <f>D80</f>
        <v>9.7871615798477443</v>
      </c>
      <c r="G81" s="229">
        <f t="shared" ref="G81:G94" si="9">B80</f>
        <v>-2853.5786832915619</v>
      </c>
      <c r="H81" s="230"/>
      <c r="J81" s="12" t="s">
        <v>41</v>
      </c>
      <c r="K81" s="12">
        <v>0.20447374112766023</v>
      </c>
      <c r="L81" s="231" t="s">
        <v>122</v>
      </c>
      <c r="M81" s="232">
        <f>K81*(K84-1)</f>
        <v>2.6581586346595829</v>
      </c>
      <c r="N81"/>
      <c r="O81" s="333" t="s">
        <v>184</v>
      </c>
      <c r="P81" s="334"/>
      <c r="Q81" s="335"/>
      <c r="R81"/>
    </row>
    <row r="82" spans="1:18" ht="15.75" thickBot="1" x14ac:dyDescent="0.3">
      <c r="A82" s="206">
        <f t="shared" si="6"/>
        <v>1960</v>
      </c>
      <c r="B82" s="229">
        <f t="shared" si="7"/>
        <v>1112.4229506281299</v>
      </c>
      <c r="C82" s="230">
        <f t="shared" si="8"/>
        <v>5.5973102301456841</v>
      </c>
      <c r="D82" s="230">
        <f t="shared" si="8"/>
        <v>9.8131141666865496</v>
      </c>
      <c r="E82" s="229">
        <f t="shared" ref="E82:E94" si="10">C81</f>
        <v>5.6145868958517298</v>
      </c>
      <c r="F82" s="229">
        <f t="shared" ref="F82:F94" si="11">D81</f>
        <v>9.8034904060436254</v>
      </c>
      <c r="G82" s="229">
        <f t="shared" si="9"/>
        <v>-2012.3194711468495</v>
      </c>
      <c r="H82" s="230">
        <f t="shared" ref="H82:H94" si="12">B80</f>
        <v>-2853.5786832915619</v>
      </c>
      <c r="J82" s="12" t="s">
        <v>42</v>
      </c>
      <c r="K82" s="12">
        <v>-3.4184136534041711E-2</v>
      </c>
      <c r="L82" s="233" t="s">
        <v>183</v>
      </c>
      <c r="M82" s="234">
        <f>CHIINV(5%,1)</f>
        <v>3.8414588206941236</v>
      </c>
      <c r="N82"/>
      <c r="O82" s="336"/>
      <c r="P82" s="337"/>
      <c r="Q82" s="338"/>
      <c r="R82"/>
    </row>
    <row r="83" spans="1:18" x14ac:dyDescent="0.25">
      <c r="A83" s="206">
        <f t="shared" si="6"/>
        <v>1961</v>
      </c>
      <c r="B83" s="229">
        <f t="shared" si="7"/>
        <v>1635.5936729967289</v>
      </c>
      <c r="C83" s="230">
        <f t="shared" si="8"/>
        <v>5.5872486584002496</v>
      </c>
      <c r="D83" s="230">
        <f t="shared" si="8"/>
        <v>9.8609609810496686</v>
      </c>
      <c r="E83" s="229">
        <f t="shared" si="10"/>
        <v>5.5973102301456841</v>
      </c>
      <c r="F83" s="229">
        <f t="shared" si="11"/>
        <v>9.8131141666865496</v>
      </c>
      <c r="G83" s="229">
        <f t="shared" si="9"/>
        <v>1112.4229506281299</v>
      </c>
      <c r="H83" s="230">
        <f t="shared" si="12"/>
        <v>-2012.3194711468495</v>
      </c>
      <c r="J83" s="12" t="s">
        <v>43</v>
      </c>
      <c r="K83" s="12">
        <v>1177.8744440960647</v>
      </c>
      <c r="L83"/>
      <c r="M83"/>
      <c r="N83"/>
      <c r="O83"/>
      <c r="P83"/>
      <c r="Q83"/>
      <c r="R83"/>
    </row>
    <row r="84" spans="1:18" ht="15.75" thickBot="1" x14ac:dyDescent="0.3">
      <c r="A84" s="206">
        <f t="shared" si="6"/>
        <v>1962</v>
      </c>
      <c r="B84" s="229">
        <f t="shared" si="7"/>
        <v>709.74309746034851</v>
      </c>
      <c r="C84" s="230">
        <f t="shared" si="8"/>
        <v>5.5902404332570725</v>
      </c>
      <c r="D84" s="230">
        <f t="shared" si="8"/>
        <v>9.8857104724334466</v>
      </c>
      <c r="E84" s="229">
        <f t="shared" si="10"/>
        <v>5.5872486584002496</v>
      </c>
      <c r="F84" s="229">
        <f t="shared" si="11"/>
        <v>9.8609609810496686</v>
      </c>
      <c r="G84" s="229">
        <f t="shared" si="9"/>
        <v>1635.5936729967289</v>
      </c>
      <c r="H84" s="230">
        <f t="shared" si="12"/>
        <v>1112.4229506281299</v>
      </c>
      <c r="J84" s="13" t="s">
        <v>44</v>
      </c>
      <c r="K84" s="13">
        <v>14</v>
      </c>
      <c r="L84"/>
      <c r="M84"/>
      <c r="N84"/>
      <c r="O84"/>
      <c r="P84"/>
      <c r="Q84"/>
      <c r="R84"/>
    </row>
    <row r="85" spans="1:18" x14ac:dyDescent="0.25">
      <c r="A85" s="206">
        <f t="shared" si="6"/>
        <v>1963</v>
      </c>
      <c r="B85" s="229">
        <f t="shared" si="7"/>
        <v>-445.80353549347637</v>
      </c>
      <c r="C85" s="230">
        <f t="shared" si="8"/>
        <v>5.6167710976665717</v>
      </c>
      <c r="D85" s="230">
        <f t="shared" si="8"/>
        <v>9.9428765207645</v>
      </c>
      <c r="E85" s="229">
        <f t="shared" si="10"/>
        <v>5.5902404332570725</v>
      </c>
      <c r="F85" s="229">
        <f t="shared" si="11"/>
        <v>9.8857104724334466</v>
      </c>
      <c r="G85" s="229">
        <f t="shared" si="9"/>
        <v>709.74309746034851</v>
      </c>
      <c r="H85" s="230">
        <f t="shared" si="12"/>
        <v>1635.5936729967289</v>
      </c>
      <c r="J85"/>
      <c r="K85"/>
      <c r="L85"/>
      <c r="M85"/>
      <c r="N85"/>
      <c r="O85"/>
      <c r="P85"/>
      <c r="Q85"/>
      <c r="R85"/>
    </row>
    <row r="86" spans="1:18" ht="15.75" thickBot="1" x14ac:dyDescent="0.3">
      <c r="A86" s="206">
        <f t="shared" si="6"/>
        <v>1964</v>
      </c>
      <c r="B86" s="229">
        <f t="shared" si="7"/>
        <v>1848.7333490465571</v>
      </c>
      <c r="C86" s="230">
        <f t="shared" si="8"/>
        <v>5.6454468976432377</v>
      </c>
      <c r="D86" s="230">
        <f t="shared" si="8"/>
        <v>10.0022735030268</v>
      </c>
      <c r="E86" s="229">
        <f t="shared" si="10"/>
        <v>5.6167710976665717</v>
      </c>
      <c r="F86" s="229">
        <f t="shared" si="11"/>
        <v>9.9428765207645</v>
      </c>
      <c r="G86" s="229">
        <f t="shared" si="9"/>
        <v>-445.80353549347637</v>
      </c>
      <c r="H86" s="230">
        <f t="shared" si="12"/>
        <v>709.74309746034851</v>
      </c>
      <c r="J86" t="s">
        <v>45</v>
      </c>
      <c r="K86"/>
      <c r="L86"/>
      <c r="M86"/>
      <c r="N86"/>
      <c r="O86"/>
      <c r="P86"/>
      <c r="Q86"/>
      <c r="R86"/>
    </row>
    <row r="87" spans="1:18" x14ac:dyDescent="0.25">
      <c r="A87" s="206">
        <f t="shared" si="6"/>
        <v>1965</v>
      </c>
      <c r="B87" s="229">
        <f t="shared" si="7"/>
        <v>743.47004895051941</v>
      </c>
      <c r="C87" s="230">
        <f t="shared" si="8"/>
        <v>5.7061130899944832</v>
      </c>
      <c r="D87" s="230">
        <f t="shared" si="8"/>
        <v>10.062421062090841</v>
      </c>
      <c r="E87" s="229">
        <f t="shared" si="10"/>
        <v>5.6454468976432377</v>
      </c>
      <c r="F87" s="229">
        <f t="shared" si="11"/>
        <v>10.0022735030268</v>
      </c>
      <c r="G87" s="229">
        <f t="shared" si="9"/>
        <v>1848.7333490465571</v>
      </c>
      <c r="H87" s="230">
        <f t="shared" si="12"/>
        <v>-445.80353549347637</v>
      </c>
      <c r="J87" s="14"/>
      <c r="K87" s="14" t="s">
        <v>50</v>
      </c>
      <c r="L87" s="14" t="s">
        <v>51</v>
      </c>
      <c r="M87" s="14" t="s">
        <v>52</v>
      </c>
      <c r="N87" s="14" t="s">
        <v>53</v>
      </c>
      <c r="O87" s="14" t="s">
        <v>54</v>
      </c>
      <c r="P87"/>
      <c r="Q87"/>
      <c r="R87"/>
    </row>
    <row r="88" spans="1:18" x14ac:dyDescent="0.25">
      <c r="A88" s="206">
        <f t="shared" si="6"/>
        <v>1966</v>
      </c>
      <c r="B88" s="229">
        <f t="shared" si="7"/>
        <v>184.21170926076957</v>
      </c>
      <c r="C88" s="230">
        <f t="shared" si="8"/>
        <v>5.7284750872465722</v>
      </c>
      <c r="D88" s="230">
        <f t="shared" si="8"/>
        <v>10.124188122199199</v>
      </c>
      <c r="E88" s="229">
        <f t="shared" si="10"/>
        <v>5.7061130899944832</v>
      </c>
      <c r="F88" s="229">
        <f t="shared" si="11"/>
        <v>10.062421062090841</v>
      </c>
      <c r="G88" s="229">
        <f t="shared" si="9"/>
        <v>743.47004895051941</v>
      </c>
      <c r="H88" s="230">
        <f t="shared" si="12"/>
        <v>1848.7333490465571</v>
      </c>
      <c r="J88" s="12" t="s">
        <v>46</v>
      </c>
      <c r="K88" s="12">
        <v>3</v>
      </c>
      <c r="L88" s="12">
        <v>3565997.3976283744</v>
      </c>
      <c r="M88" s="12">
        <v>1188665.7992094581</v>
      </c>
      <c r="N88" s="12">
        <v>0.85676510296258557</v>
      </c>
      <c r="O88" s="12">
        <v>0.49453115023000971</v>
      </c>
      <c r="P88"/>
      <c r="Q88"/>
      <c r="R88"/>
    </row>
    <row r="89" spans="1:18" x14ac:dyDescent="0.25">
      <c r="A89" s="206">
        <f t="shared" si="6"/>
        <v>1967</v>
      </c>
      <c r="B89" s="229">
        <f t="shared" si="7"/>
        <v>999.25076514312968</v>
      </c>
      <c r="C89" s="230">
        <f t="shared" si="8"/>
        <v>5.7160403720517028</v>
      </c>
      <c r="D89" s="230">
        <f t="shared" si="8"/>
        <v>10.192931821407361</v>
      </c>
      <c r="E89" s="229">
        <f t="shared" si="10"/>
        <v>5.7284750872465722</v>
      </c>
      <c r="F89" s="229">
        <f t="shared" si="11"/>
        <v>10.124188122199199</v>
      </c>
      <c r="G89" s="229">
        <f t="shared" si="9"/>
        <v>184.21170926076957</v>
      </c>
      <c r="H89" s="230">
        <f t="shared" si="12"/>
        <v>743.47004895051941</v>
      </c>
      <c r="J89" s="12" t="s">
        <v>47</v>
      </c>
      <c r="K89" s="12">
        <v>10</v>
      </c>
      <c r="L89" s="12">
        <v>13873882.060546137</v>
      </c>
      <c r="M89" s="12">
        <v>1387388.2060546137</v>
      </c>
      <c r="N89" s="12"/>
      <c r="O89" s="12"/>
      <c r="P89"/>
      <c r="Q89"/>
      <c r="R89"/>
    </row>
    <row r="90" spans="1:18" ht="15.75" thickBot="1" x14ac:dyDescent="0.3">
      <c r="A90" s="206">
        <f t="shared" si="6"/>
        <v>1968</v>
      </c>
      <c r="B90" s="229">
        <f t="shared" si="7"/>
        <v>782.82532126805017</v>
      </c>
      <c r="C90" s="230">
        <f t="shared" si="8"/>
        <v>5.7193276859916633</v>
      </c>
      <c r="D90" s="230">
        <f t="shared" si="8"/>
        <v>10.307545003693294</v>
      </c>
      <c r="E90" s="229">
        <f t="shared" si="10"/>
        <v>5.7160403720517028</v>
      </c>
      <c r="F90" s="229">
        <f t="shared" si="11"/>
        <v>10.192931821407361</v>
      </c>
      <c r="G90" s="229">
        <f t="shared" si="9"/>
        <v>999.25076514312968</v>
      </c>
      <c r="H90" s="230">
        <f t="shared" si="12"/>
        <v>184.21170926076957</v>
      </c>
      <c r="J90" s="13" t="s">
        <v>48</v>
      </c>
      <c r="K90" s="13">
        <v>13</v>
      </c>
      <c r="L90" s="13">
        <v>17439879.458174512</v>
      </c>
      <c r="M90" s="13"/>
      <c r="N90" s="13"/>
      <c r="O90" s="13"/>
      <c r="P90"/>
      <c r="Q90"/>
      <c r="R90"/>
    </row>
    <row r="91" spans="1:18" ht="15.75" thickBot="1" x14ac:dyDescent="0.3">
      <c r="A91" s="206">
        <f t="shared" si="6"/>
        <v>1969</v>
      </c>
      <c r="B91" s="229">
        <f t="shared" si="7"/>
        <v>-1571.5446328596627</v>
      </c>
      <c r="C91" s="230">
        <f t="shared" si="8"/>
        <v>5.6991048851050898</v>
      </c>
      <c r="D91" s="230">
        <f t="shared" si="8"/>
        <v>10.360466097465386</v>
      </c>
      <c r="E91" s="229">
        <f t="shared" si="10"/>
        <v>5.7193276859916633</v>
      </c>
      <c r="F91" s="229">
        <f t="shared" si="11"/>
        <v>10.307545003693294</v>
      </c>
      <c r="G91" s="229">
        <f t="shared" si="9"/>
        <v>782.82532126805017</v>
      </c>
      <c r="H91" s="230">
        <f t="shared" si="12"/>
        <v>999.25076514312968</v>
      </c>
      <c r="J91"/>
      <c r="K91"/>
      <c r="L91"/>
      <c r="M91"/>
      <c r="N91"/>
      <c r="O91"/>
      <c r="P91"/>
      <c r="Q91"/>
      <c r="R91"/>
    </row>
    <row r="92" spans="1:18" x14ac:dyDescent="0.25">
      <c r="A92" s="206">
        <f t="shared" si="6"/>
        <v>1970</v>
      </c>
      <c r="B92" s="229">
        <f t="shared" si="7"/>
        <v>-393.46552731937118</v>
      </c>
      <c r="C92" s="230">
        <f t="shared" si="8"/>
        <v>5.6886688368461531</v>
      </c>
      <c r="D92" s="230">
        <f t="shared" si="8"/>
        <v>10.418539233928032</v>
      </c>
      <c r="E92" s="229">
        <f t="shared" si="10"/>
        <v>5.6991048851050898</v>
      </c>
      <c r="F92" s="229">
        <f t="shared" si="11"/>
        <v>10.360466097465386</v>
      </c>
      <c r="G92" s="229">
        <f t="shared" si="9"/>
        <v>-1571.5446328596627</v>
      </c>
      <c r="H92" s="230">
        <f t="shared" si="12"/>
        <v>782.82532126805017</v>
      </c>
      <c r="J92" s="14"/>
      <c r="K92" s="14" t="s">
        <v>55</v>
      </c>
      <c r="L92" s="14" t="s">
        <v>43</v>
      </c>
      <c r="M92" s="14" t="s">
        <v>56</v>
      </c>
      <c r="N92" s="14" t="s">
        <v>57</v>
      </c>
      <c r="O92" s="14" t="s">
        <v>58</v>
      </c>
      <c r="P92" s="14" t="s">
        <v>59</v>
      </c>
      <c r="Q92" s="14" t="s">
        <v>60</v>
      </c>
      <c r="R92" s="14" t="s">
        <v>61</v>
      </c>
    </row>
    <row r="93" spans="1:18" x14ac:dyDescent="0.25">
      <c r="A93" s="206">
        <f t="shared" si="6"/>
        <v>1971</v>
      </c>
      <c r="B93" s="229">
        <f t="shared" si="7"/>
        <v>-1019.0452356189962</v>
      </c>
      <c r="C93" s="230">
        <f t="shared" si="8"/>
        <v>5.7004435733906869</v>
      </c>
      <c r="D93" s="230">
        <f t="shared" si="8"/>
        <v>10.457998906414559</v>
      </c>
      <c r="E93" s="229">
        <f t="shared" si="10"/>
        <v>5.6886688368461531</v>
      </c>
      <c r="F93" s="229">
        <f t="shared" si="11"/>
        <v>10.418539233928032</v>
      </c>
      <c r="G93" s="229">
        <f t="shared" si="9"/>
        <v>-393.46552731937118</v>
      </c>
      <c r="H93" s="230">
        <f t="shared" si="12"/>
        <v>-1571.5446328596627</v>
      </c>
      <c r="J93" s="12" t="s">
        <v>49</v>
      </c>
      <c r="K93" s="12">
        <v>12263.083600049829</v>
      </c>
      <c r="L93" s="12">
        <v>42363.156302111231</v>
      </c>
      <c r="M93" s="12">
        <v>0.28947521078448729</v>
      </c>
      <c r="N93" s="12">
        <v>0.77813061880730405</v>
      </c>
      <c r="O93" s="12">
        <v>-82127.910849451393</v>
      </c>
      <c r="P93" s="12">
        <v>106654.07804955104</v>
      </c>
      <c r="Q93" s="12">
        <v>-82127.910849451393</v>
      </c>
      <c r="R93" s="12">
        <v>106654.07804955104</v>
      </c>
    </row>
    <row r="94" spans="1:18" x14ac:dyDescent="0.25">
      <c r="A94" s="206">
        <f t="shared" si="6"/>
        <v>1972</v>
      </c>
      <c r="B94" s="229">
        <f t="shared" si="7"/>
        <v>279.50617182418864</v>
      </c>
      <c r="C94" s="230">
        <f t="shared" si="8"/>
        <v>5.6633076420904827</v>
      </c>
      <c r="D94" s="230">
        <f t="shared" si="8"/>
        <v>10.640515245578118</v>
      </c>
      <c r="E94" s="229">
        <f t="shared" si="10"/>
        <v>5.7004435733906869</v>
      </c>
      <c r="F94" s="229">
        <f t="shared" si="11"/>
        <v>10.457998906414559</v>
      </c>
      <c r="G94" s="229">
        <f t="shared" si="9"/>
        <v>-1019.0452356189962</v>
      </c>
      <c r="H94" s="230">
        <f t="shared" si="12"/>
        <v>-393.46552731937118</v>
      </c>
      <c r="J94" s="12" t="s">
        <v>155</v>
      </c>
      <c r="K94" s="12">
        <v>550.59496417665298</v>
      </c>
      <c r="L94" s="12">
        <v>10482.244216530078</v>
      </c>
      <c r="M94" s="12">
        <v>5.2526439262728382E-2</v>
      </c>
      <c r="N94" s="12">
        <v>0.95914370953384553</v>
      </c>
      <c r="O94" s="12">
        <v>-22805.300630682439</v>
      </c>
      <c r="P94" s="12">
        <v>23906.490559035745</v>
      </c>
      <c r="Q94" s="12">
        <v>-22805.300630682439</v>
      </c>
      <c r="R94" s="12">
        <v>23906.490559035745</v>
      </c>
    </row>
    <row r="95" spans="1:18" x14ac:dyDescent="0.25">
      <c r="J95" s="12" t="s">
        <v>181</v>
      </c>
      <c r="K95" s="12">
        <v>-1506.0009386717295</v>
      </c>
      <c r="L95" s="12">
        <v>2348.1760992659151</v>
      </c>
      <c r="M95" s="12">
        <v>-0.64134923234357688</v>
      </c>
      <c r="N95" s="12">
        <v>0.53571787698604778</v>
      </c>
      <c r="O95" s="12">
        <v>-6738.063336751693</v>
      </c>
      <c r="P95" s="12">
        <v>3726.0614594082344</v>
      </c>
      <c r="Q95" s="12">
        <v>-6738.063336751693</v>
      </c>
      <c r="R95" s="12">
        <v>3726.0614594082344</v>
      </c>
    </row>
    <row r="96" spans="1:18" ht="15.75" thickBot="1" x14ac:dyDescent="0.3">
      <c r="J96" s="13" t="s">
        <v>182</v>
      </c>
      <c r="K96" s="13">
        <v>0.27392402872136878</v>
      </c>
      <c r="L96" s="13">
        <v>0.23106149878414761</v>
      </c>
      <c r="M96" s="13">
        <v>1.1855026915464717</v>
      </c>
      <c r="N96" s="13">
        <v>0.26322469319697761</v>
      </c>
      <c r="O96" s="13">
        <v>-0.24091307391776984</v>
      </c>
      <c r="P96" s="13">
        <v>0.78876113136050741</v>
      </c>
      <c r="Q96" s="13">
        <v>-0.24091307391776984</v>
      </c>
      <c r="R96" s="13">
        <v>0.78876113136050741</v>
      </c>
    </row>
    <row r="97" spans="1:18" x14ac:dyDescent="0.25">
      <c r="J97"/>
      <c r="K97"/>
      <c r="L97"/>
      <c r="M97"/>
      <c r="N97"/>
      <c r="O97"/>
      <c r="P97"/>
      <c r="Q97"/>
      <c r="R97"/>
    </row>
    <row r="98" spans="1:18" x14ac:dyDescent="0.25">
      <c r="J98"/>
      <c r="K98"/>
      <c r="L98"/>
      <c r="M98"/>
      <c r="N98"/>
      <c r="O98"/>
      <c r="P98"/>
      <c r="Q98"/>
      <c r="R98"/>
    </row>
    <row r="99" spans="1:18" s="204" customFormat="1" x14ac:dyDescent="0.25">
      <c r="J99" s="205"/>
      <c r="K99" s="205"/>
      <c r="L99" s="205"/>
      <c r="M99" s="205"/>
      <c r="N99" s="205"/>
      <c r="O99" s="205"/>
      <c r="P99" s="205"/>
      <c r="Q99" s="205"/>
      <c r="R99" s="205"/>
    </row>
    <row r="100" spans="1:18" ht="16.5" thickBot="1" x14ac:dyDescent="0.3">
      <c r="A100" s="331" t="s">
        <v>163</v>
      </c>
      <c r="B100" s="332"/>
    </row>
    <row r="101" spans="1:18" ht="15.75" x14ac:dyDescent="0.25">
      <c r="A101" s="207" t="s">
        <v>31</v>
      </c>
      <c r="B101" s="207" t="s">
        <v>6</v>
      </c>
      <c r="F101" s="223" t="s">
        <v>167</v>
      </c>
      <c r="G101" s="224" t="s">
        <v>168</v>
      </c>
      <c r="H101" s="224" t="s">
        <v>169</v>
      </c>
      <c r="I101" s="225" t="s">
        <v>170</v>
      </c>
    </row>
    <row r="102" spans="1:18" ht="15.75" x14ac:dyDescent="0.25">
      <c r="A102" s="162">
        <f>A2</f>
        <v>1958</v>
      </c>
      <c r="B102" s="164">
        <f>B2</f>
        <v>16607.700000000012</v>
      </c>
      <c r="F102" s="51">
        <v>0</v>
      </c>
      <c r="G102" s="219">
        <f ca="1">(SUMPRODUCT(OFFSET($B$102:$B$116,+F102,0,$B$118-F102,1)-$B$119,OFFSET($B$102:$B$116,0,0,$B$118-F102,1)-$B$119)/$B$118)/$B$120</f>
        <v>0.99999999999999845</v>
      </c>
      <c r="H102" s="219">
        <f>-I102</f>
        <v>-0.50606052475266394</v>
      </c>
      <c r="I102" s="220">
        <f>_xlfn.NORM.S.INV(1-5%/2)/SQRT($B$118)</f>
        <v>0.50606052475266394</v>
      </c>
    </row>
    <row r="103" spans="1:18" ht="15.75" x14ac:dyDescent="0.25">
      <c r="A103" s="162">
        <f t="shared" ref="A103:A116" si="13">A3</f>
        <v>1959</v>
      </c>
      <c r="B103" s="164">
        <f t="shared" ref="B103:B116" si="14">B3</f>
        <v>17511.299999999992</v>
      </c>
      <c r="F103" s="51">
        <v>1</v>
      </c>
      <c r="G103" s="219">
        <f t="shared" ref="G103:G112" ca="1" si="15">(SUMPRODUCT(OFFSET($B$102:$B$116,+F103,0,$B$118-F103,1)-$B$119,OFFSET($B$102:$B$116,0,0,$B$118-F103,1)-$B$119)/$B$118)/$B$120</f>
        <v>0.76403662168107278</v>
      </c>
      <c r="H103" s="219">
        <f>-I103</f>
        <v>-0.50606052475266394</v>
      </c>
      <c r="I103" s="220">
        <f>_xlfn.NORM.S.INV(1-5%/2)/SQRT($B$118)</f>
        <v>0.50606052475266394</v>
      </c>
    </row>
    <row r="104" spans="1:18" ht="15.75" x14ac:dyDescent="0.25">
      <c r="A104" s="162">
        <f t="shared" si="13"/>
        <v>1960</v>
      </c>
      <c r="B104" s="164">
        <f t="shared" si="14"/>
        <v>20171.199999999986</v>
      </c>
      <c r="F104" s="51">
        <v>2</v>
      </c>
      <c r="G104" s="219">
        <f t="shared" ca="1" si="15"/>
        <v>0.56435937356634958</v>
      </c>
      <c r="H104" s="219">
        <f t="shared" ref="H104:H112" ca="1" si="16">-I104</f>
        <v>-0.74504483295809021</v>
      </c>
      <c r="I104" s="220">
        <f ca="1">_xlfn.NORM.S.INV(1-5%/2)*SQRT((1+2*SUMSQ($G$103))/$B$118)</f>
        <v>0.74504483295809021</v>
      </c>
    </row>
    <row r="105" spans="1:18" ht="15.75" x14ac:dyDescent="0.25">
      <c r="A105" s="162">
        <f t="shared" si="13"/>
        <v>1961</v>
      </c>
      <c r="B105" s="164">
        <f t="shared" si="14"/>
        <v>20932.900000000016</v>
      </c>
      <c r="F105" s="51">
        <v>3</v>
      </c>
      <c r="G105" s="219">
        <f t="shared" ca="1" si="15"/>
        <v>0.41355701191590699</v>
      </c>
      <c r="H105" s="219">
        <f t="shared" ca="1" si="16"/>
        <v>-0.74504483295809021</v>
      </c>
      <c r="I105" s="220">
        <f t="shared" ref="I105:I112" ca="1" si="17">_xlfn.NORM.S.INV(1-5%/2)*SQRT((1+2*SUMSQ($G$103))/$B$118)</f>
        <v>0.74504483295809021</v>
      </c>
    </row>
    <row r="106" spans="1:18" ht="15.75" x14ac:dyDescent="0.25">
      <c r="A106" s="162">
        <f t="shared" si="13"/>
        <v>1962</v>
      </c>
      <c r="B106" s="164">
        <f t="shared" si="14"/>
        <v>20405.999999999985</v>
      </c>
      <c r="F106" s="51">
        <v>4</v>
      </c>
      <c r="G106" s="219">
        <f t="shared" ca="1" si="15"/>
        <v>0.29831808860772119</v>
      </c>
      <c r="H106" s="219">
        <f t="shared" ca="1" si="16"/>
        <v>-0.74504483295809021</v>
      </c>
      <c r="I106" s="220">
        <f t="shared" ca="1" si="17"/>
        <v>0.74504483295809021</v>
      </c>
    </row>
    <row r="107" spans="1:18" ht="15.75" x14ac:dyDescent="0.25">
      <c r="A107" s="162">
        <f t="shared" si="13"/>
        <v>1963</v>
      </c>
      <c r="B107" s="164">
        <f t="shared" si="14"/>
        <v>20831.599999999999</v>
      </c>
      <c r="F107" s="51">
        <v>5</v>
      </c>
      <c r="G107" s="219">
        <f t="shared" ca="1" si="15"/>
        <v>6.7258958203493563E-2</v>
      </c>
      <c r="H107" s="219">
        <f t="shared" ca="1" si="16"/>
        <v>-0.74504483295809021</v>
      </c>
      <c r="I107" s="220">
        <f t="shared" ca="1" si="17"/>
        <v>0.74504483295809021</v>
      </c>
    </row>
    <row r="108" spans="1:18" ht="15.75" x14ac:dyDescent="0.25">
      <c r="A108" s="162">
        <f t="shared" si="13"/>
        <v>1964</v>
      </c>
      <c r="B108" s="164">
        <f t="shared" si="14"/>
        <v>24806.299999999992</v>
      </c>
      <c r="F108" s="51">
        <v>6</v>
      </c>
      <c r="G108" s="219">
        <f t="shared" ca="1" si="15"/>
        <v>-0.14120250999032957</v>
      </c>
      <c r="H108" s="219">
        <f t="shared" ca="1" si="16"/>
        <v>-0.74504483295809021</v>
      </c>
      <c r="I108" s="220">
        <f t="shared" ca="1" si="17"/>
        <v>0.74504483295809021</v>
      </c>
    </row>
    <row r="109" spans="1:18" ht="15.75" x14ac:dyDescent="0.25">
      <c r="A109" s="162">
        <f t="shared" si="13"/>
        <v>1965</v>
      </c>
      <c r="B109" s="164">
        <f t="shared" si="14"/>
        <v>26465.799999999988</v>
      </c>
      <c r="F109" s="51">
        <v>7</v>
      </c>
      <c r="G109" s="219">
        <f t="shared" ca="1" si="15"/>
        <v>-0.26302204594733131</v>
      </c>
      <c r="H109" s="219">
        <f t="shared" ca="1" si="16"/>
        <v>-0.74504483295809021</v>
      </c>
      <c r="I109" s="220">
        <f t="shared" ca="1" si="17"/>
        <v>0.74504483295809021</v>
      </c>
    </row>
    <row r="110" spans="1:18" ht="15.75" x14ac:dyDescent="0.25">
      <c r="A110" s="162">
        <f t="shared" si="13"/>
        <v>1966</v>
      </c>
      <c r="B110" s="164">
        <f t="shared" si="14"/>
        <v>27403.000000000004</v>
      </c>
      <c r="F110" s="51">
        <v>8</v>
      </c>
      <c r="G110" s="219">
        <f t="shared" ca="1" si="15"/>
        <v>-0.36032323335128136</v>
      </c>
      <c r="H110" s="219">
        <f t="shared" ca="1" si="16"/>
        <v>-0.74504483295809021</v>
      </c>
      <c r="I110" s="220">
        <f t="shared" ca="1" si="17"/>
        <v>0.74504483295809021</v>
      </c>
    </row>
    <row r="111" spans="1:18" ht="15.75" x14ac:dyDescent="0.25">
      <c r="A111" s="162">
        <f t="shared" si="13"/>
        <v>1967</v>
      </c>
      <c r="B111" s="164">
        <f t="shared" si="14"/>
        <v>28628.700000000004</v>
      </c>
      <c r="F111" s="51">
        <v>9</v>
      </c>
      <c r="G111" s="219">
        <f t="shared" ca="1" si="15"/>
        <v>-0.43363976304146912</v>
      </c>
      <c r="H111" s="219">
        <f t="shared" ca="1" si="16"/>
        <v>-0.74504483295809021</v>
      </c>
      <c r="I111" s="220">
        <f t="shared" ca="1" si="17"/>
        <v>0.74504483295809021</v>
      </c>
    </row>
    <row r="112" spans="1:18" ht="16.5" thickBot="1" x14ac:dyDescent="0.3">
      <c r="A112" s="162">
        <f t="shared" si="13"/>
        <v>1968</v>
      </c>
      <c r="B112" s="190">
        <f t="shared" si="14"/>
        <v>29904.499999999993</v>
      </c>
      <c r="F112" s="52">
        <v>10</v>
      </c>
      <c r="G112" s="221">
        <f t="shared" ca="1" si="15"/>
        <v>-0.38605371412959288</v>
      </c>
      <c r="H112" s="221">
        <f t="shared" ca="1" si="16"/>
        <v>-0.74504483295809021</v>
      </c>
      <c r="I112" s="222">
        <f t="shared" ca="1" si="17"/>
        <v>0.74504483295809021</v>
      </c>
    </row>
    <row r="113" spans="1:16" ht="15.75" x14ac:dyDescent="0.25">
      <c r="A113" s="162">
        <f t="shared" si="13"/>
        <v>1969</v>
      </c>
      <c r="B113" s="164">
        <f t="shared" si="14"/>
        <v>27508.199999999993</v>
      </c>
    </row>
    <row r="114" spans="1:16" ht="15.75" x14ac:dyDescent="0.25">
      <c r="A114" s="162">
        <f t="shared" si="13"/>
        <v>1970</v>
      </c>
      <c r="B114" s="164">
        <f t="shared" si="14"/>
        <v>29035.499999999978</v>
      </c>
    </row>
    <row r="115" spans="1:16" ht="15.75" x14ac:dyDescent="0.25">
      <c r="A115" s="162">
        <f t="shared" si="13"/>
        <v>1971</v>
      </c>
      <c r="B115" s="164">
        <f t="shared" si="14"/>
        <v>29281.500000000011</v>
      </c>
    </row>
    <row r="116" spans="1:16" s="239" customFormat="1" ht="15.75" x14ac:dyDescent="0.25">
      <c r="A116" s="237">
        <f t="shared" si="13"/>
        <v>1972</v>
      </c>
      <c r="B116" s="238">
        <f t="shared" si="14"/>
        <v>31531.8</v>
      </c>
    </row>
    <row r="118" spans="1:16" x14ac:dyDescent="0.25">
      <c r="A118" s="215" t="s">
        <v>164</v>
      </c>
      <c r="B118" s="216">
        <f>COUNTA(B102:B116)</f>
        <v>15</v>
      </c>
    </row>
    <row r="119" spans="1:16" x14ac:dyDescent="0.25">
      <c r="A119" s="215" t="s">
        <v>165</v>
      </c>
      <c r="B119" s="217">
        <f>AVERAGE(B102:B116)</f>
        <v>24735.066666666662</v>
      </c>
    </row>
    <row r="120" spans="1:16" x14ac:dyDescent="0.25">
      <c r="A120" s="215" t="s">
        <v>166</v>
      </c>
      <c r="B120" s="216">
        <f>_xlfn.VAR.P(B102:B116)</f>
        <v>22170103.438222248</v>
      </c>
    </row>
    <row r="122" spans="1:16" s="235" customFormat="1" x14ac:dyDescent="0.25"/>
    <row r="123" spans="1:16" x14ac:dyDescent="0.25">
      <c r="A123" s="236" t="s">
        <v>185</v>
      </c>
    </row>
    <row r="126" spans="1:16" x14ac:dyDescent="0.25">
      <c r="B126" s="241">
        <v>1</v>
      </c>
      <c r="C126" s="242">
        <v>0.28081735201745145</v>
      </c>
      <c r="D126" s="241">
        <v>0</v>
      </c>
      <c r="E126" s="241">
        <v>0</v>
      </c>
      <c r="F126" s="241">
        <v>0</v>
      </c>
      <c r="G126" s="241">
        <v>0</v>
      </c>
      <c r="H126" s="241">
        <v>0</v>
      </c>
      <c r="I126" s="241">
        <v>0</v>
      </c>
      <c r="J126" s="241">
        <v>0</v>
      </c>
      <c r="K126" s="241">
        <v>0</v>
      </c>
      <c r="L126" s="241">
        <v>0</v>
      </c>
      <c r="M126" s="241">
        <v>0</v>
      </c>
      <c r="N126" s="241">
        <v>0</v>
      </c>
      <c r="O126" s="241">
        <v>0</v>
      </c>
      <c r="P126" s="241">
        <v>0</v>
      </c>
    </row>
    <row r="127" spans="1:16" x14ac:dyDescent="0.25">
      <c r="B127" s="242">
        <v>0.28081735201745145</v>
      </c>
      <c r="C127" s="242">
        <f>1+B56^2</f>
        <v>1.0788583851940932</v>
      </c>
      <c r="D127" s="242">
        <v>0.28081735201745145</v>
      </c>
      <c r="E127" s="241">
        <v>0</v>
      </c>
      <c r="F127" s="241">
        <v>0</v>
      </c>
      <c r="G127" s="241">
        <v>0</v>
      </c>
      <c r="H127" s="241">
        <v>0</v>
      </c>
      <c r="I127" s="241">
        <v>0</v>
      </c>
      <c r="J127" s="241">
        <v>0</v>
      </c>
      <c r="K127" s="241">
        <v>0</v>
      </c>
      <c r="L127" s="241">
        <v>0</v>
      </c>
      <c r="M127" s="241">
        <v>0</v>
      </c>
      <c r="N127" s="241">
        <v>0</v>
      </c>
      <c r="O127" s="241">
        <v>0</v>
      </c>
      <c r="P127" s="241">
        <v>0</v>
      </c>
    </row>
    <row r="128" spans="1:16" x14ac:dyDescent="0.25">
      <c r="B128" s="241">
        <v>0</v>
      </c>
      <c r="C128" s="242">
        <v>0.28081735201745145</v>
      </c>
      <c r="D128" s="241">
        <v>1.0788583851940932</v>
      </c>
      <c r="E128" s="242">
        <v>0.28081735201745145</v>
      </c>
      <c r="F128" s="241">
        <v>0</v>
      </c>
      <c r="G128" s="241">
        <v>0</v>
      </c>
      <c r="H128" s="241">
        <v>0</v>
      </c>
      <c r="I128" s="241">
        <v>0</v>
      </c>
      <c r="J128" s="241">
        <v>0</v>
      </c>
      <c r="K128" s="241">
        <v>0</v>
      </c>
      <c r="L128" s="241">
        <v>0</v>
      </c>
      <c r="M128" s="241">
        <v>0</v>
      </c>
      <c r="N128" s="241">
        <v>0</v>
      </c>
      <c r="O128" s="241">
        <v>0</v>
      </c>
      <c r="P128" s="241">
        <v>0</v>
      </c>
    </row>
    <row r="129" spans="2:17" x14ac:dyDescent="0.25">
      <c r="B129" s="241">
        <v>0</v>
      </c>
      <c r="C129" s="241">
        <v>0</v>
      </c>
      <c r="D129" s="242">
        <v>0.28081735201745145</v>
      </c>
      <c r="E129" s="241">
        <v>1.0788583851940932</v>
      </c>
      <c r="F129" s="242">
        <v>0.28081735201745145</v>
      </c>
      <c r="G129" s="241">
        <v>0</v>
      </c>
      <c r="H129" s="241">
        <v>0</v>
      </c>
      <c r="I129" s="241">
        <v>0</v>
      </c>
      <c r="J129" s="241">
        <v>0</v>
      </c>
      <c r="K129" s="241">
        <v>0</v>
      </c>
      <c r="L129" s="241">
        <v>0</v>
      </c>
      <c r="M129" s="241">
        <v>0</v>
      </c>
      <c r="N129" s="241">
        <v>0</v>
      </c>
      <c r="O129" s="241">
        <v>0</v>
      </c>
      <c r="P129" s="241">
        <v>0</v>
      </c>
    </row>
    <row r="130" spans="2:17" x14ac:dyDescent="0.25">
      <c r="B130" s="241">
        <v>0</v>
      </c>
      <c r="C130" s="241">
        <v>0</v>
      </c>
      <c r="D130" s="241">
        <v>0</v>
      </c>
      <c r="E130" s="242">
        <v>0.28081735201745145</v>
      </c>
      <c r="F130" s="241">
        <v>1.0788583851940932</v>
      </c>
      <c r="G130" s="242">
        <v>0.28081735201745145</v>
      </c>
      <c r="H130" s="241">
        <v>0</v>
      </c>
      <c r="I130" s="241">
        <v>0</v>
      </c>
      <c r="J130" s="241">
        <v>0</v>
      </c>
      <c r="K130" s="241">
        <v>0</v>
      </c>
      <c r="L130" s="241">
        <v>0</v>
      </c>
      <c r="M130" s="241">
        <v>0</v>
      </c>
      <c r="N130" s="241">
        <v>0</v>
      </c>
      <c r="O130" s="241">
        <v>0</v>
      </c>
      <c r="P130" s="241">
        <v>0</v>
      </c>
    </row>
    <row r="131" spans="2:17" x14ac:dyDescent="0.25">
      <c r="B131" s="241">
        <v>0</v>
      </c>
      <c r="C131" s="241">
        <v>0</v>
      </c>
      <c r="D131" s="241">
        <v>0</v>
      </c>
      <c r="E131" s="241">
        <v>0</v>
      </c>
      <c r="F131" s="242">
        <v>0.28081735201745145</v>
      </c>
      <c r="G131" s="241">
        <v>1.0788583851940932</v>
      </c>
      <c r="H131" s="242">
        <v>0.28081735201745145</v>
      </c>
      <c r="I131" s="241">
        <v>0</v>
      </c>
      <c r="J131" s="241">
        <v>0</v>
      </c>
      <c r="K131" s="241">
        <v>0</v>
      </c>
      <c r="L131" s="241">
        <v>0</v>
      </c>
      <c r="M131" s="241">
        <v>0</v>
      </c>
      <c r="N131" s="241">
        <v>0</v>
      </c>
      <c r="O131" s="241">
        <v>0</v>
      </c>
      <c r="P131" s="241">
        <v>0</v>
      </c>
    </row>
    <row r="132" spans="2:17" x14ac:dyDescent="0.25">
      <c r="B132" s="241">
        <v>0</v>
      </c>
      <c r="C132" s="241">
        <v>0</v>
      </c>
      <c r="D132" s="241">
        <v>0</v>
      </c>
      <c r="E132" s="241">
        <v>0</v>
      </c>
      <c r="F132" s="241">
        <v>0</v>
      </c>
      <c r="G132" s="242">
        <v>0.28081735201745145</v>
      </c>
      <c r="H132" s="241">
        <v>1.0788583851940932</v>
      </c>
      <c r="I132" s="242">
        <v>0.28081735201745145</v>
      </c>
      <c r="J132" s="241">
        <v>0</v>
      </c>
      <c r="K132" s="241">
        <v>0</v>
      </c>
      <c r="L132" s="241">
        <v>0</v>
      </c>
      <c r="M132" s="241">
        <v>0</v>
      </c>
      <c r="N132" s="241">
        <v>0</v>
      </c>
      <c r="O132" s="241">
        <v>0</v>
      </c>
      <c r="P132" s="241">
        <v>0</v>
      </c>
    </row>
    <row r="133" spans="2:17" x14ac:dyDescent="0.25">
      <c r="B133" s="241">
        <v>0</v>
      </c>
      <c r="C133" s="241">
        <v>0</v>
      </c>
      <c r="D133" s="241">
        <v>0</v>
      </c>
      <c r="E133" s="241">
        <v>0</v>
      </c>
      <c r="F133" s="241">
        <v>0</v>
      </c>
      <c r="G133" s="241">
        <v>0</v>
      </c>
      <c r="H133" s="242">
        <v>0.28081735201745145</v>
      </c>
      <c r="I133" s="241">
        <v>1.0788583851940932</v>
      </c>
      <c r="J133" s="242">
        <v>0.28081735201745145</v>
      </c>
      <c r="K133" s="241">
        <v>0</v>
      </c>
      <c r="L133" s="241">
        <v>0</v>
      </c>
      <c r="M133" s="241">
        <v>0</v>
      </c>
      <c r="N133" s="241">
        <v>0</v>
      </c>
      <c r="O133" s="241">
        <v>0</v>
      </c>
      <c r="P133" s="241">
        <v>0</v>
      </c>
    </row>
    <row r="134" spans="2:17" x14ac:dyDescent="0.25">
      <c r="B134" s="241">
        <v>0</v>
      </c>
      <c r="C134" s="241">
        <v>0</v>
      </c>
      <c r="D134" s="241">
        <v>0</v>
      </c>
      <c r="E134" s="241">
        <v>0</v>
      </c>
      <c r="F134" s="241">
        <v>0</v>
      </c>
      <c r="G134" s="241">
        <v>0</v>
      </c>
      <c r="H134" s="241">
        <v>0</v>
      </c>
      <c r="I134" s="242">
        <v>0.28081735201745145</v>
      </c>
      <c r="J134" s="241">
        <v>1.0788583851940932</v>
      </c>
      <c r="K134" s="242">
        <v>0.28081735201745145</v>
      </c>
      <c r="L134" s="241">
        <v>0</v>
      </c>
      <c r="M134" s="241">
        <v>0</v>
      </c>
      <c r="N134" s="241">
        <v>0</v>
      </c>
      <c r="O134" s="241">
        <v>0</v>
      </c>
      <c r="P134" s="241">
        <v>0</v>
      </c>
    </row>
    <row r="135" spans="2:17" x14ac:dyDescent="0.25">
      <c r="B135" s="241">
        <v>0</v>
      </c>
      <c r="C135" s="241">
        <v>0</v>
      </c>
      <c r="D135" s="241">
        <v>0</v>
      </c>
      <c r="E135" s="241">
        <v>0</v>
      </c>
      <c r="F135" s="241">
        <v>0</v>
      </c>
      <c r="G135" s="241">
        <v>0</v>
      </c>
      <c r="H135" s="241">
        <v>0</v>
      </c>
      <c r="I135" s="241">
        <v>0</v>
      </c>
      <c r="J135" s="242">
        <v>0.28081735201745145</v>
      </c>
      <c r="K135" s="241">
        <v>1.0788583851940932</v>
      </c>
      <c r="L135" s="242">
        <v>0.28081735201745145</v>
      </c>
      <c r="M135" s="241">
        <v>0</v>
      </c>
      <c r="N135" s="241">
        <v>0</v>
      </c>
      <c r="O135" s="241">
        <v>0</v>
      </c>
      <c r="P135" s="241">
        <v>0</v>
      </c>
    </row>
    <row r="136" spans="2:17" x14ac:dyDescent="0.25">
      <c r="B136" s="241">
        <v>0</v>
      </c>
      <c r="C136" s="241">
        <v>0</v>
      </c>
      <c r="D136" s="241">
        <v>0</v>
      </c>
      <c r="E136" s="241">
        <v>0</v>
      </c>
      <c r="F136" s="241">
        <v>0</v>
      </c>
      <c r="G136" s="241">
        <v>0</v>
      </c>
      <c r="H136" s="241">
        <v>0</v>
      </c>
      <c r="I136" s="241">
        <v>0</v>
      </c>
      <c r="J136" s="241">
        <v>0</v>
      </c>
      <c r="K136" s="242">
        <v>0.28081735201745145</v>
      </c>
      <c r="L136" s="241">
        <v>1.0788583851940932</v>
      </c>
      <c r="M136" s="242">
        <v>0.28081735201745145</v>
      </c>
      <c r="N136" s="241">
        <v>0</v>
      </c>
      <c r="O136" s="241">
        <v>0</v>
      </c>
      <c r="P136" s="241">
        <v>0</v>
      </c>
    </row>
    <row r="137" spans="2:17" x14ac:dyDescent="0.25">
      <c r="B137" s="241">
        <v>0</v>
      </c>
      <c r="C137" s="241">
        <v>0</v>
      </c>
      <c r="D137" s="241">
        <v>0</v>
      </c>
      <c r="E137" s="241">
        <v>0</v>
      </c>
      <c r="F137" s="241">
        <v>0</v>
      </c>
      <c r="G137" s="241">
        <v>0</v>
      </c>
      <c r="H137" s="241">
        <v>0</v>
      </c>
      <c r="I137" s="241">
        <v>0</v>
      </c>
      <c r="J137" s="241">
        <v>0</v>
      </c>
      <c r="K137" s="241">
        <v>0</v>
      </c>
      <c r="L137" s="242">
        <v>0.28081735201745145</v>
      </c>
      <c r="M137" s="241">
        <v>1.0788583851940932</v>
      </c>
      <c r="N137" s="242">
        <v>0.28081735201745145</v>
      </c>
      <c r="O137" s="241">
        <v>0</v>
      </c>
      <c r="P137" s="241">
        <v>0</v>
      </c>
    </row>
    <row r="138" spans="2:17" x14ac:dyDescent="0.25">
      <c r="B138" s="241">
        <v>0</v>
      </c>
      <c r="C138" s="241">
        <v>0</v>
      </c>
      <c r="D138" s="241">
        <v>0</v>
      </c>
      <c r="E138" s="241">
        <v>0</v>
      </c>
      <c r="F138" s="241">
        <v>0</v>
      </c>
      <c r="G138" s="241">
        <v>0</v>
      </c>
      <c r="H138" s="241">
        <v>0</v>
      </c>
      <c r="I138" s="241">
        <v>0</v>
      </c>
      <c r="J138" s="241">
        <v>0</v>
      </c>
      <c r="K138" s="241">
        <v>0</v>
      </c>
      <c r="L138" s="241">
        <v>0</v>
      </c>
      <c r="M138" s="242">
        <v>0.28081735201745145</v>
      </c>
      <c r="N138" s="241">
        <v>1.0788583851940932</v>
      </c>
      <c r="O138" s="242">
        <v>0.28081735201745145</v>
      </c>
      <c r="P138" s="241">
        <v>0</v>
      </c>
    </row>
    <row r="139" spans="2:17" x14ac:dyDescent="0.25">
      <c r="B139" s="241">
        <v>0</v>
      </c>
      <c r="C139" s="241">
        <v>0</v>
      </c>
      <c r="D139" s="241">
        <v>0</v>
      </c>
      <c r="E139" s="241">
        <v>0</v>
      </c>
      <c r="F139" s="241">
        <v>0</v>
      </c>
      <c r="G139" s="241">
        <v>0</v>
      </c>
      <c r="H139" s="241">
        <v>0</v>
      </c>
      <c r="I139" s="241">
        <v>0</v>
      </c>
      <c r="J139" s="241">
        <v>0</v>
      </c>
      <c r="K139" s="241">
        <v>0</v>
      </c>
      <c r="L139" s="241">
        <v>0</v>
      </c>
      <c r="M139" s="241">
        <v>0</v>
      </c>
      <c r="N139" s="242">
        <v>0.28081735201745145</v>
      </c>
      <c r="O139" s="241">
        <v>1.0788583851940932</v>
      </c>
      <c r="P139" s="242">
        <v>0.28081735201745145</v>
      </c>
    </row>
    <row r="140" spans="2:17" x14ac:dyDescent="0.25">
      <c r="B140" s="241">
        <v>0</v>
      </c>
      <c r="C140" s="241">
        <v>0</v>
      </c>
      <c r="D140" s="241">
        <v>0</v>
      </c>
      <c r="E140" s="241">
        <v>0</v>
      </c>
      <c r="F140" s="241">
        <v>0</v>
      </c>
      <c r="G140" s="241">
        <v>0</v>
      </c>
      <c r="H140" s="241">
        <v>0</v>
      </c>
      <c r="I140" s="241">
        <v>0</v>
      </c>
      <c r="J140" s="241">
        <v>0</v>
      </c>
      <c r="K140" s="241">
        <v>0</v>
      </c>
      <c r="L140" s="241">
        <v>0</v>
      </c>
      <c r="M140" s="241">
        <v>0</v>
      </c>
      <c r="N140" s="241">
        <v>0</v>
      </c>
      <c r="O140" s="242">
        <v>0.28081735201745145</v>
      </c>
      <c r="P140" s="241">
        <v>1</v>
      </c>
    </row>
    <row r="142" spans="2:17" ht="15.75" thickBot="1" x14ac:dyDescent="0.3">
      <c r="B142" s="218" t="s">
        <v>186</v>
      </c>
      <c r="C142" s="216"/>
      <c r="F142" s="218" t="s">
        <v>187</v>
      </c>
    </row>
    <row r="143" spans="2:17" ht="15.75" x14ac:dyDescent="0.25">
      <c r="B143" s="246">
        <f t="array" ref="B143:D145">MINVERSE(MMULT(MMULT(H1:V3,B126:P140),C2:E16))</f>
        <v>726.89166722694358</v>
      </c>
      <c r="C143" s="246">
        <v>-156.55849049235943</v>
      </c>
      <c r="D143" s="240">
        <v>15.757644747160787</v>
      </c>
      <c r="E143" s="203"/>
      <c r="F143" s="240">
        <f t="array" ref="F143:F145">MMULT(MMULT(H1:V3,B126:P140),B2:B16)</f>
        <v>591350.97877278237</v>
      </c>
      <c r="G143" s="203"/>
      <c r="H143" s="247" t="s">
        <v>37</v>
      </c>
      <c r="I143" s="243">
        <f t="array" ref="I143:I145">MMULT(B143:D145,F143:F145)</f>
        <v>-293801.77439388633</v>
      </c>
      <c r="K143" s="318" t="s">
        <v>190</v>
      </c>
      <c r="L143" s="319"/>
      <c r="M143" s="319"/>
      <c r="N143" s="319"/>
      <c r="O143" s="319"/>
      <c r="P143" s="319"/>
      <c r="Q143" s="320"/>
    </row>
    <row r="144" spans="2:17" ht="15.75" x14ac:dyDescent="0.25">
      <c r="B144" s="246">
        <v>-156.55849049232302</v>
      </c>
      <c r="C144" s="246">
        <v>37.067120125608149</v>
      </c>
      <c r="D144" s="240">
        <v>-5.2674839787856405</v>
      </c>
      <c r="E144" s="203"/>
      <c r="F144" s="240">
        <v>3351676.6896121213</v>
      </c>
      <c r="G144" s="203"/>
      <c r="H144" s="248" t="s">
        <v>87</v>
      </c>
      <c r="I144" s="244">
        <v>35814.053746435791</v>
      </c>
      <c r="K144" s="321" t="s">
        <v>188</v>
      </c>
      <c r="L144" s="322"/>
      <c r="M144" s="322"/>
      <c r="N144" s="322"/>
      <c r="O144" s="322"/>
      <c r="P144" s="322"/>
      <c r="Q144" s="323"/>
    </row>
    <row r="145" spans="2:17" ht="16.5" thickBot="1" x14ac:dyDescent="0.3">
      <c r="B145" s="240">
        <v>15.757644747140402</v>
      </c>
      <c r="C145" s="240">
        <v>-5.2674839787820389</v>
      </c>
      <c r="D145" s="240">
        <v>1.3906725573118854</v>
      </c>
      <c r="E145" s="203"/>
      <c r="F145" s="240">
        <v>6002898.5302717239</v>
      </c>
      <c r="G145" s="203"/>
      <c r="H145" s="249" t="s">
        <v>88</v>
      </c>
      <c r="I145" s="245">
        <v>11461.630162935704</v>
      </c>
      <c r="K145" s="324" t="s">
        <v>189</v>
      </c>
      <c r="L145" s="325"/>
      <c r="M145" s="325"/>
      <c r="N145" s="325"/>
      <c r="O145" s="325"/>
      <c r="P145" s="325"/>
      <c r="Q145" s="326"/>
    </row>
    <row r="147" spans="2:17" ht="15" customHeight="1" x14ac:dyDescent="0.25">
      <c r="B147" s="327" t="s">
        <v>191</v>
      </c>
      <c r="C147" s="327"/>
      <c r="D147" s="327"/>
      <c r="E147" s="327"/>
      <c r="F147" s="327"/>
      <c r="G147" s="327"/>
      <c r="H147" s="327"/>
      <c r="I147" s="250"/>
    </row>
    <row r="148" spans="2:17" ht="15" customHeight="1" x14ac:dyDescent="0.25">
      <c r="B148" s="327"/>
      <c r="C148" s="327"/>
      <c r="D148" s="327"/>
      <c r="E148" s="327"/>
      <c r="F148" s="327"/>
      <c r="G148" s="327"/>
      <c r="H148" s="327"/>
      <c r="I148" s="250"/>
    </row>
    <row r="149" spans="2:17" ht="15" customHeight="1" x14ac:dyDescent="0.25">
      <c r="B149" s="250"/>
      <c r="C149" s="250"/>
      <c r="D149" s="250"/>
      <c r="E149" s="250"/>
      <c r="F149" s="250"/>
      <c r="G149" s="250"/>
      <c r="H149" s="250"/>
      <c r="I149" s="250"/>
    </row>
  </sheetData>
  <mergeCells count="13">
    <mergeCell ref="N16:R16"/>
    <mergeCell ref="U18:X20"/>
    <mergeCell ref="K10:Q10"/>
    <mergeCell ref="K11:Q11"/>
    <mergeCell ref="K9:Q9"/>
    <mergeCell ref="K143:Q143"/>
    <mergeCell ref="K144:Q144"/>
    <mergeCell ref="K145:Q145"/>
    <mergeCell ref="B147:H148"/>
    <mergeCell ref="M44:O46"/>
    <mergeCell ref="A100:B100"/>
    <mergeCell ref="D56:F57"/>
    <mergeCell ref="O81:Q82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K82"/>
  <sheetViews>
    <sheetView showGridLines="0" topLeftCell="J7" zoomScaleNormal="100" workbookViewId="0">
      <selection activeCell="P10" sqref="P10"/>
    </sheetView>
  </sheetViews>
  <sheetFormatPr defaultColWidth="9.140625" defaultRowHeight="16.5" customHeight="1" x14ac:dyDescent="0.25"/>
  <cols>
    <col min="1" max="1" width="0.85546875" style="1" customWidth="1"/>
    <col min="2" max="2" width="20.7109375" style="1" bestFit="1" customWidth="1"/>
    <col min="3" max="13" width="9.140625" style="1" customWidth="1"/>
    <col min="14" max="14" width="0.140625" style="1" customWidth="1"/>
    <col min="15" max="15" width="0.85546875" style="1" customWidth="1"/>
    <col min="16" max="21" width="9.140625" style="1" customWidth="1"/>
    <col min="22" max="16384" width="9.140625" style="1"/>
  </cols>
  <sheetData>
    <row r="1" spans="2:30" ht="16.5" customHeight="1" thickBot="1" x14ac:dyDescent="0.3"/>
    <row r="2" spans="2:30" ht="16.5" customHeight="1" x14ac:dyDescent="0.25">
      <c r="B2" s="265" t="s">
        <v>2</v>
      </c>
      <c r="C2" s="266"/>
      <c r="D2" s="267" t="s">
        <v>0</v>
      </c>
      <c r="E2" s="267"/>
      <c r="F2" s="267"/>
      <c r="G2" s="267"/>
      <c r="H2" s="267"/>
      <c r="I2" s="267"/>
      <c r="J2" s="267"/>
      <c r="K2" s="267"/>
      <c r="L2" s="267"/>
      <c r="M2" s="268"/>
      <c r="P2" s="258" t="s">
        <v>222</v>
      </c>
      <c r="Q2" s="258"/>
      <c r="R2" s="258"/>
      <c r="S2" s="258"/>
      <c r="T2" s="258"/>
      <c r="U2" s="258"/>
      <c r="V2" s="258"/>
      <c r="W2" s="258"/>
      <c r="X2" s="258"/>
      <c r="Y2" s="258"/>
      <c r="Z2" s="258"/>
      <c r="AA2" s="258"/>
      <c r="AB2" s="258"/>
      <c r="AC2" s="258"/>
    </row>
    <row r="3" spans="2:30" ht="16.5" customHeight="1" x14ac:dyDescent="0.25">
      <c r="B3" s="273"/>
      <c r="C3" s="274"/>
      <c r="D3" s="269"/>
      <c r="E3" s="269"/>
      <c r="F3" s="269"/>
      <c r="G3" s="269"/>
      <c r="H3" s="269"/>
      <c r="I3" s="269"/>
      <c r="J3" s="269"/>
      <c r="K3" s="269"/>
      <c r="L3" s="269"/>
      <c r="M3" s="270"/>
      <c r="P3" s="258"/>
      <c r="Q3" s="258"/>
      <c r="R3" s="258"/>
      <c r="S3" s="258"/>
      <c r="T3" s="258"/>
      <c r="U3" s="258"/>
      <c r="V3" s="258"/>
      <c r="W3" s="258"/>
      <c r="X3" s="258"/>
      <c r="Y3" s="258"/>
      <c r="Z3" s="258"/>
      <c r="AA3" s="258"/>
      <c r="AB3" s="258"/>
      <c r="AC3" s="258"/>
    </row>
    <row r="4" spans="2:30" ht="16.5" customHeight="1" x14ac:dyDescent="0.25">
      <c r="B4" s="273">
        <v>101190648</v>
      </c>
      <c r="C4" s="274"/>
      <c r="D4" s="269"/>
      <c r="E4" s="269"/>
      <c r="F4" s="269"/>
      <c r="G4" s="269"/>
      <c r="H4" s="269"/>
      <c r="I4" s="269"/>
      <c r="J4" s="269"/>
      <c r="K4" s="269"/>
      <c r="L4" s="269"/>
      <c r="M4" s="270"/>
      <c r="P4" s="360" t="s">
        <v>221</v>
      </c>
      <c r="Q4" s="360"/>
      <c r="R4" s="360"/>
      <c r="S4" s="360"/>
      <c r="T4" s="360"/>
      <c r="U4" s="360"/>
      <c r="V4" s="360"/>
      <c r="W4" s="360"/>
      <c r="X4" s="360"/>
      <c r="Y4" s="360"/>
      <c r="Z4" s="360"/>
      <c r="AA4" s="360"/>
      <c r="AB4" s="360"/>
      <c r="AC4" s="360"/>
      <c r="AD4" s="360"/>
    </row>
    <row r="5" spans="2:30" ht="16.5" customHeight="1" thickBot="1" x14ac:dyDescent="0.3">
      <c r="B5" s="275"/>
      <c r="C5" s="276"/>
      <c r="D5" s="271" t="s">
        <v>220</v>
      </c>
      <c r="E5" s="271"/>
      <c r="F5" s="271"/>
      <c r="G5" s="271"/>
      <c r="H5" s="271"/>
      <c r="I5" s="271"/>
      <c r="J5" s="271"/>
      <c r="K5" s="271"/>
      <c r="L5" s="271"/>
      <c r="M5" s="272"/>
      <c r="P5" s="2" t="s">
        <v>219</v>
      </c>
    </row>
    <row r="6" spans="2:30" ht="16.5" customHeight="1" x14ac:dyDescent="0.25">
      <c r="B6" s="259" t="s">
        <v>218</v>
      </c>
      <c r="C6" s="260"/>
      <c r="D6" s="260"/>
      <c r="E6" s="260"/>
      <c r="F6" s="260"/>
      <c r="G6" s="260"/>
      <c r="H6" s="260"/>
      <c r="I6" s="260"/>
      <c r="J6" s="260"/>
      <c r="K6" s="260"/>
      <c r="L6" s="260"/>
      <c r="M6" s="261"/>
      <c r="P6" s="2" t="s">
        <v>217</v>
      </c>
    </row>
    <row r="7" spans="2:30" ht="16.5" customHeight="1" x14ac:dyDescent="0.25">
      <c r="B7" s="259"/>
      <c r="C7" s="260"/>
      <c r="D7" s="260"/>
      <c r="E7" s="260"/>
      <c r="F7" s="260"/>
      <c r="G7" s="260"/>
      <c r="H7" s="260"/>
      <c r="I7" s="260"/>
      <c r="J7" s="260"/>
      <c r="K7" s="260"/>
      <c r="L7" s="260"/>
      <c r="M7" s="261"/>
      <c r="P7" s="2" t="s">
        <v>216</v>
      </c>
    </row>
    <row r="8" spans="2:30" ht="16.5" customHeight="1" x14ac:dyDescent="0.25">
      <c r="B8" s="259"/>
      <c r="C8" s="260"/>
      <c r="D8" s="260"/>
      <c r="E8" s="260"/>
      <c r="F8" s="260"/>
      <c r="G8" s="260"/>
      <c r="H8" s="260"/>
      <c r="I8" s="260"/>
      <c r="J8" s="260"/>
      <c r="K8" s="260"/>
      <c r="L8" s="260"/>
      <c r="M8" s="261"/>
      <c r="P8" s="2" t="s">
        <v>215</v>
      </c>
    </row>
    <row r="9" spans="2:30" ht="16.5" customHeight="1" x14ac:dyDescent="0.25">
      <c r="B9" s="259"/>
      <c r="C9" s="260"/>
      <c r="D9" s="260"/>
      <c r="E9" s="260"/>
      <c r="F9" s="260"/>
      <c r="G9" s="260"/>
      <c r="H9" s="260"/>
      <c r="I9" s="260"/>
      <c r="J9" s="260"/>
      <c r="K9" s="260"/>
      <c r="L9" s="260"/>
      <c r="M9" s="261"/>
      <c r="P9" s="2" t="s">
        <v>214</v>
      </c>
    </row>
    <row r="10" spans="2:30" ht="16.5" customHeight="1" x14ac:dyDescent="0.25">
      <c r="B10" s="259"/>
      <c r="C10" s="260"/>
      <c r="D10" s="260"/>
      <c r="E10" s="260"/>
      <c r="F10" s="260"/>
      <c r="G10" s="260"/>
      <c r="H10" s="260"/>
      <c r="I10" s="260"/>
      <c r="J10" s="260"/>
      <c r="K10" s="260"/>
      <c r="L10" s="260"/>
      <c r="M10" s="261"/>
      <c r="P10" s="3" t="s">
        <v>213</v>
      </c>
    </row>
    <row r="11" spans="2:30" ht="16.5" customHeight="1" x14ac:dyDescent="0.25">
      <c r="B11" s="259"/>
      <c r="C11" s="260"/>
      <c r="D11" s="260"/>
      <c r="E11" s="260"/>
      <c r="F11" s="260"/>
      <c r="G11" s="260"/>
      <c r="H11" s="260"/>
      <c r="I11" s="260"/>
      <c r="J11" s="260"/>
      <c r="K11" s="260"/>
      <c r="L11" s="260"/>
      <c r="M11" s="261"/>
    </row>
    <row r="12" spans="2:30" ht="16.5" customHeight="1" x14ac:dyDescent="0.25">
      <c r="B12" s="259"/>
      <c r="C12" s="260"/>
      <c r="D12" s="260"/>
      <c r="E12" s="260"/>
      <c r="F12" s="260"/>
      <c r="G12" s="260"/>
      <c r="H12" s="260"/>
      <c r="I12" s="260"/>
      <c r="J12" s="260"/>
      <c r="K12" s="260"/>
      <c r="L12" s="260"/>
      <c r="M12" s="261"/>
      <c r="P12" s="10" t="s">
        <v>212</v>
      </c>
      <c r="Q12" s="10" t="s">
        <v>6</v>
      </c>
      <c r="R12" s="10" t="s">
        <v>211</v>
      </c>
      <c r="S12" s="10" t="s">
        <v>210</v>
      </c>
      <c r="T12" s="10" t="s">
        <v>226</v>
      </c>
      <c r="AA12"/>
      <c r="AB12" s="9"/>
      <c r="AC12" s="9"/>
      <c r="AD12" s="9"/>
    </row>
    <row r="13" spans="2:30" ht="16.5" customHeight="1" thickBot="1" x14ac:dyDescent="0.3">
      <c r="B13" s="262"/>
      <c r="C13" s="263"/>
      <c r="D13" s="263"/>
      <c r="E13" s="263"/>
      <c r="F13" s="263"/>
      <c r="G13" s="263"/>
      <c r="H13" s="263"/>
      <c r="I13" s="263"/>
      <c r="J13" s="263"/>
      <c r="K13" s="263"/>
      <c r="L13" s="263"/>
      <c r="M13" s="264"/>
      <c r="P13" s="10" t="s">
        <v>209</v>
      </c>
      <c r="Q13" s="11">
        <v>105</v>
      </c>
      <c r="R13" s="11">
        <v>16</v>
      </c>
      <c r="S13" s="11" t="s">
        <v>195</v>
      </c>
      <c r="T13" s="11" t="s">
        <v>227</v>
      </c>
      <c r="W13"/>
      <c r="X13"/>
      <c r="Y13"/>
      <c r="Z13"/>
      <c r="AB13" s="9"/>
      <c r="AC13" s="9"/>
      <c r="AD13" s="9"/>
    </row>
    <row r="14" spans="2:30" ht="16.5" customHeight="1" x14ac:dyDescent="0.25">
      <c r="P14" s="10" t="s">
        <v>208</v>
      </c>
      <c r="Q14" s="11">
        <v>98</v>
      </c>
      <c r="R14" s="11">
        <v>31</v>
      </c>
      <c r="S14" s="11" t="s">
        <v>192</v>
      </c>
      <c r="T14" s="11" t="s">
        <v>228</v>
      </c>
      <c r="W14"/>
      <c r="X14"/>
      <c r="Y14"/>
      <c r="Z14"/>
      <c r="AB14" s="9"/>
      <c r="AC14" s="9"/>
      <c r="AD14" s="9"/>
    </row>
    <row r="15" spans="2:30" ht="16.5" customHeight="1" x14ac:dyDescent="0.25">
      <c r="P15" s="10" t="s">
        <v>207</v>
      </c>
      <c r="Q15" s="11">
        <v>114</v>
      </c>
      <c r="R15" s="11">
        <v>15</v>
      </c>
      <c r="S15" s="11" t="s">
        <v>195</v>
      </c>
      <c r="T15" s="11" t="s">
        <v>227</v>
      </c>
      <c r="W15"/>
      <c r="X15"/>
      <c r="Y15"/>
      <c r="Z15"/>
      <c r="AB15" s="9"/>
      <c r="AC15" s="9"/>
      <c r="AD15" s="9"/>
    </row>
    <row r="16" spans="2:30" ht="16.5" customHeight="1" x14ac:dyDescent="0.25">
      <c r="P16" s="10" t="s">
        <v>206</v>
      </c>
      <c r="Q16" s="11">
        <v>99</v>
      </c>
      <c r="R16" s="11">
        <v>21</v>
      </c>
      <c r="S16" s="11" t="s">
        <v>197</v>
      </c>
      <c r="T16" s="11" t="s">
        <v>228</v>
      </c>
      <c r="W16"/>
      <c r="X16"/>
      <c r="Y16"/>
      <c r="Z16"/>
      <c r="AB16" s="9"/>
      <c r="AC16" s="9"/>
      <c r="AD16" s="9"/>
    </row>
    <row r="17" spans="2:37" ht="16.5" customHeight="1" x14ac:dyDescent="0.25">
      <c r="P17" s="10" t="s">
        <v>205</v>
      </c>
      <c r="Q17" s="11">
        <v>93</v>
      </c>
      <c r="R17" s="11">
        <v>7</v>
      </c>
      <c r="S17" s="11" t="s">
        <v>192</v>
      </c>
      <c r="T17" s="11" t="s">
        <v>227</v>
      </c>
      <c r="W17"/>
      <c r="X17"/>
      <c r="Y17"/>
      <c r="Z17"/>
      <c r="AB17" s="9"/>
      <c r="AC17" s="9"/>
      <c r="AD17" s="9"/>
      <c r="AE17"/>
      <c r="AF17"/>
      <c r="AG17"/>
      <c r="AH17"/>
      <c r="AI17"/>
      <c r="AJ17"/>
      <c r="AK17"/>
    </row>
    <row r="18" spans="2:37" ht="16.5" customHeight="1" x14ac:dyDescent="0.25">
      <c r="P18" s="10" t="s">
        <v>204</v>
      </c>
      <c r="Q18" s="11">
        <v>46</v>
      </c>
      <c r="R18" s="11">
        <v>25</v>
      </c>
      <c r="S18" s="11" t="s">
        <v>195</v>
      </c>
      <c r="T18" s="11" t="s">
        <v>228</v>
      </c>
      <c r="W18"/>
      <c r="X18"/>
      <c r="Y18"/>
      <c r="Z18"/>
      <c r="AB18" s="9"/>
      <c r="AC18" s="9"/>
      <c r="AD18" s="9"/>
      <c r="AE18"/>
      <c r="AF18"/>
      <c r="AG18"/>
      <c r="AH18"/>
      <c r="AI18"/>
      <c r="AJ18"/>
      <c r="AK18"/>
    </row>
    <row r="19" spans="2:37" ht="16.5" customHeight="1" x14ac:dyDescent="0.25">
      <c r="P19" s="10" t="s">
        <v>203</v>
      </c>
      <c r="Q19" s="11">
        <v>73</v>
      </c>
      <c r="R19" s="11">
        <v>33</v>
      </c>
      <c r="S19" s="11" t="s">
        <v>197</v>
      </c>
      <c r="T19" s="11" t="s">
        <v>227</v>
      </c>
      <c r="W19"/>
      <c r="X19"/>
      <c r="Y19"/>
      <c r="Z19"/>
      <c r="AB19" s="9"/>
      <c r="AC19" s="9"/>
      <c r="AD19" s="9"/>
      <c r="AE19"/>
      <c r="AF19"/>
      <c r="AG19"/>
      <c r="AH19"/>
      <c r="AI19"/>
      <c r="AJ19"/>
      <c r="AK19"/>
    </row>
    <row r="20" spans="2:37" ht="16.5" customHeight="1" x14ac:dyDescent="0.25">
      <c r="P20" s="10" t="s">
        <v>202</v>
      </c>
      <c r="Q20" s="11">
        <v>52</v>
      </c>
      <c r="R20" s="11">
        <v>10</v>
      </c>
      <c r="S20" s="11" t="s">
        <v>192</v>
      </c>
      <c r="T20" s="11" t="s">
        <v>228</v>
      </c>
      <c r="W20"/>
      <c r="X20"/>
      <c r="Y20"/>
      <c r="Z20"/>
      <c r="AB20" s="9"/>
      <c r="AC20" s="9"/>
      <c r="AD20" s="9"/>
      <c r="AE20"/>
      <c r="AF20"/>
      <c r="AG20"/>
      <c r="AH20"/>
      <c r="AI20"/>
      <c r="AJ20"/>
      <c r="AK20"/>
    </row>
    <row r="21" spans="2:37" ht="16.5" customHeight="1" x14ac:dyDescent="0.25">
      <c r="P21" s="10" t="s">
        <v>201</v>
      </c>
      <c r="Q21" s="11">
        <v>108</v>
      </c>
      <c r="R21" s="11">
        <v>16</v>
      </c>
      <c r="S21" s="11" t="s">
        <v>195</v>
      </c>
      <c r="T21" s="11" t="s">
        <v>227</v>
      </c>
      <c r="W21"/>
      <c r="X21"/>
      <c r="Y21"/>
      <c r="Z21"/>
      <c r="AB21" s="9"/>
      <c r="AC21" s="9"/>
      <c r="AD21" s="9"/>
      <c r="AE21"/>
      <c r="AF21"/>
      <c r="AG21"/>
      <c r="AH21"/>
      <c r="AI21"/>
      <c r="AJ21"/>
      <c r="AK21"/>
    </row>
    <row r="22" spans="2:37" ht="16.5" customHeight="1" x14ac:dyDescent="0.25">
      <c r="P22" s="10" t="s">
        <v>200</v>
      </c>
      <c r="Q22" s="11">
        <v>75</v>
      </c>
      <c r="R22" s="11">
        <v>40</v>
      </c>
      <c r="S22" s="11" t="s">
        <v>197</v>
      </c>
      <c r="T22" s="11" t="s">
        <v>228</v>
      </c>
      <c r="W22"/>
      <c r="X22"/>
      <c r="Y22"/>
      <c r="Z22"/>
      <c r="AB22" s="9"/>
      <c r="AC22" s="9"/>
      <c r="AD22" s="9"/>
      <c r="AE22"/>
      <c r="AF22"/>
      <c r="AG22"/>
      <c r="AH22"/>
      <c r="AI22"/>
      <c r="AJ22"/>
      <c r="AK22"/>
    </row>
    <row r="23" spans="2:37" ht="16.5" customHeight="1" x14ac:dyDescent="0.25">
      <c r="P23" s="10" t="s">
        <v>199</v>
      </c>
      <c r="Q23" s="11">
        <v>68</v>
      </c>
      <c r="R23" s="11">
        <v>18</v>
      </c>
      <c r="S23" s="11" t="s">
        <v>197</v>
      </c>
      <c r="T23" s="11" t="s">
        <v>227</v>
      </c>
      <c r="W23"/>
      <c r="X23"/>
      <c r="Y23"/>
      <c r="Z23"/>
      <c r="AC23"/>
      <c r="AD23"/>
      <c r="AE23"/>
      <c r="AF23"/>
      <c r="AG23"/>
      <c r="AH23"/>
      <c r="AI23"/>
      <c r="AJ23"/>
      <c r="AK23"/>
    </row>
    <row r="24" spans="2:37" ht="16.5" customHeight="1" x14ac:dyDescent="0.25">
      <c r="P24" s="10" t="s">
        <v>198</v>
      </c>
      <c r="Q24" s="11">
        <v>121</v>
      </c>
      <c r="R24" s="11">
        <v>5</v>
      </c>
      <c r="S24" s="11" t="s">
        <v>197</v>
      </c>
      <c r="T24" s="11" t="s">
        <v>228</v>
      </c>
      <c r="W24"/>
      <c r="X24"/>
      <c r="Y24"/>
      <c r="Z24"/>
      <c r="AC24"/>
      <c r="AD24"/>
      <c r="AE24"/>
      <c r="AF24"/>
      <c r="AG24"/>
      <c r="AH24"/>
      <c r="AI24"/>
      <c r="AJ24"/>
      <c r="AK24"/>
    </row>
    <row r="25" spans="2:37" ht="16.5" customHeight="1" x14ac:dyDescent="0.25">
      <c r="B25" s="2"/>
      <c r="P25" s="10" t="s">
        <v>196</v>
      </c>
      <c r="Q25" s="11">
        <v>153</v>
      </c>
      <c r="R25" s="11">
        <v>9</v>
      </c>
      <c r="S25" s="11" t="s">
        <v>195</v>
      </c>
      <c r="T25" s="11" t="s">
        <v>227</v>
      </c>
      <c r="W25"/>
      <c r="X25"/>
      <c r="Y25"/>
      <c r="Z25"/>
      <c r="AC25"/>
      <c r="AD25"/>
      <c r="AE25"/>
      <c r="AF25"/>
      <c r="AG25"/>
      <c r="AH25"/>
      <c r="AI25"/>
      <c r="AJ25"/>
      <c r="AK25"/>
    </row>
    <row r="26" spans="2:37" ht="16.5" customHeight="1" x14ac:dyDescent="0.25">
      <c r="P26" s="10" t="s">
        <v>194</v>
      </c>
      <c r="Q26" s="11">
        <v>121</v>
      </c>
      <c r="R26" s="11">
        <v>19</v>
      </c>
      <c r="S26" s="11" t="s">
        <v>192</v>
      </c>
      <c r="T26" s="11" t="s">
        <v>228</v>
      </c>
      <c r="W26"/>
      <c r="X26"/>
      <c r="Y26"/>
      <c r="Z26"/>
      <c r="AC26"/>
      <c r="AD26"/>
      <c r="AE26"/>
      <c r="AF26"/>
      <c r="AG26"/>
      <c r="AH26"/>
      <c r="AI26"/>
      <c r="AJ26"/>
      <c r="AK26"/>
    </row>
    <row r="27" spans="2:37" ht="16.5" customHeight="1" x14ac:dyDescent="0.25">
      <c r="P27" s="10" t="s">
        <v>193</v>
      </c>
      <c r="Q27" s="11">
        <v>72</v>
      </c>
      <c r="R27" s="11">
        <v>28</v>
      </c>
      <c r="S27" s="11" t="s">
        <v>192</v>
      </c>
      <c r="T27" s="11" t="s">
        <v>228</v>
      </c>
      <c r="W27"/>
      <c r="X27"/>
      <c r="Y27"/>
      <c r="Z27"/>
      <c r="AC27"/>
      <c r="AD27"/>
      <c r="AE27"/>
      <c r="AF27"/>
      <c r="AG27"/>
      <c r="AH27"/>
      <c r="AI27"/>
      <c r="AJ27"/>
      <c r="AK27"/>
    </row>
    <row r="28" spans="2:37" ht="16.5" customHeight="1" x14ac:dyDescent="0.25">
      <c r="T28"/>
      <c r="Y28"/>
      <c r="Z28"/>
      <c r="AC28"/>
      <c r="AD28"/>
      <c r="AE28"/>
      <c r="AF28"/>
      <c r="AG28"/>
      <c r="AH28"/>
      <c r="AI28"/>
      <c r="AJ28"/>
      <c r="AK28"/>
    </row>
    <row r="29" spans="2:37" ht="16.5" customHeight="1" x14ac:dyDescent="0.25">
      <c r="T29"/>
      <c r="Y29"/>
      <c r="Z29"/>
      <c r="AC29"/>
      <c r="AD29"/>
      <c r="AE29"/>
      <c r="AF29"/>
      <c r="AG29"/>
      <c r="AH29"/>
      <c r="AI29"/>
      <c r="AJ29"/>
      <c r="AK29"/>
    </row>
    <row r="30" spans="2:37" ht="16.5" customHeight="1" x14ac:dyDescent="0.25">
      <c r="T30"/>
      <c r="Y30"/>
      <c r="Z30"/>
      <c r="AC30"/>
      <c r="AD30"/>
      <c r="AE30"/>
      <c r="AF30"/>
      <c r="AG30"/>
      <c r="AH30"/>
      <c r="AI30"/>
      <c r="AJ30"/>
      <c r="AK30"/>
    </row>
    <row r="31" spans="2:37" ht="16.5" customHeight="1" x14ac:dyDescent="0.25">
      <c r="T31"/>
      <c r="Y31"/>
      <c r="Z31"/>
      <c r="AC31"/>
      <c r="AD31"/>
      <c r="AE31"/>
      <c r="AF31"/>
      <c r="AG31"/>
      <c r="AH31"/>
      <c r="AI31"/>
      <c r="AJ31"/>
      <c r="AK31"/>
    </row>
    <row r="32" spans="2:37" ht="16.5" customHeight="1" x14ac:dyDescent="0.25">
      <c r="H32"/>
      <c r="I32"/>
      <c r="J32"/>
      <c r="K32"/>
      <c r="P32" s="4"/>
      <c r="T32"/>
      <c r="Y32"/>
      <c r="AC32"/>
      <c r="AD32"/>
      <c r="AE32"/>
      <c r="AF32"/>
      <c r="AG32"/>
      <c r="AH32"/>
      <c r="AI32"/>
      <c r="AJ32"/>
      <c r="AK32"/>
    </row>
    <row r="33" spans="8:37" ht="16.5" customHeight="1" x14ac:dyDescent="0.25">
      <c r="H33"/>
      <c r="I33"/>
      <c r="J33"/>
      <c r="K33"/>
      <c r="L33"/>
      <c r="M33"/>
      <c r="N33"/>
      <c r="O33"/>
      <c r="P33"/>
      <c r="Q33"/>
      <c r="R33"/>
      <c r="S33"/>
      <c r="T33"/>
      <c r="Y33"/>
      <c r="AC33"/>
      <c r="AD33"/>
      <c r="AE33"/>
      <c r="AF33"/>
      <c r="AG33"/>
      <c r="AH33"/>
      <c r="AI33"/>
      <c r="AJ33"/>
      <c r="AK33"/>
    </row>
    <row r="34" spans="8:37" ht="16.5" customHeight="1" x14ac:dyDescent="0.25">
      <c r="H34"/>
      <c r="I34"/>
      <c r="J34"/>
      <c r="K34"/>
      <c r="L34"/>
      <c r="M34"/>
      <c r="N34"/>
      <c r="O34"/>
      <c r="P34"/>
      <c r="Q34"/>
      <c r="R34"/>
      <c r="S34"/>
      <c r="T34"/>
      <c r="Y34"/>
      <c r="AC34"/>
      <c r="AD34"/>
      <c r="AE34"/>
      <c r="AF34"/>
      <c r="AG34"/>
      <c r="AH34"/>
      <c r="AI34"/>
      <c r="AJ34"/>
      <c r="AK34"/>
    </row>
    <row r="35" spans="8:37" ht="16.5" customHeight="1" x14ac:dyDescent="0.25">
      <c r="H35"/>
      <c r="I35"/>
      <c r="J35"/>
      <c r="K35"/>
      <c r="L35"/>
      <c r="M35"/>
      <c r="N35"/>
      <c r="O35"/>
      <c r="P35"/>
      <c r="Q35"/>
      <c r="R35"/>
      <c r="S35"/>
      <c r="T35"/>
      <c r="Y35"/>
      <c r="AC35"/>
      <c r="AD35"/>
      <c r="AE35"/>
      <c r="AF35"/>
      <c r="AG35"/>
      <c r="AH35"/>
      <c r="AI35"/>
      <c r="AJ35"/>
      <c r="AK35"/>
    </row>
    <row r="36" spans="8:37" ht="16.5" customHeight="1" x14ac:dyDescent="0.25">
      <c r="H36"/>
      <c r="I36"/>
      <c r="J36"/>
      <c r="K36"/>
      <c r="L36"/>
      <c r="M36"/>
      <c r="N36"/>
      <c r="O36"/>
      <c r="P36"/>
      <c r="Q36"/>
      <c r="R36"/>
      <c r="S36"/>
      <c r="T36"/>
      <c r="Y36"/>
      <c r="AC36"/>
      <c r="AD36"/>
      <c r="AE36"/>
      <c r="AF36"/>
      <c r="AG36"/>
      <c r="AH36"/>
      <c r="AI36"/>
      <c r="AJ36"/>
      <c r="AK36"/>
    </row>
    <row r="37" spans="8:37" ht="16.5" customHeight="1" x14ac:dyDescent="0.25">
      <c r="H37"/>
      <c r="I37"/>
      <c r="J37"/>
      <c r="K37"/>
      <c r="L37"/>
      <c r="M37"/>
      <c r="N37"/>
      <c r="O37"/>
      <c r="P37"/>
      <c r="Q37"/>
      <c r="R37"/>
      <c r="S37"/>
      <c r="T37"/>
      <c r="Y37"/>
      <c r="AC37"/>
      <c r="AD37"/>
      <c r="AE37"/>
      <c r="AF37"/>
      <c r="AG37"/>
      <c r="AH37"/>
      <c r="AI37"/>
      <c r="AJ37"/>
      <c r="AK37"/>
    </row>
    <row r="38" spans="8:37" ht="16.5" customHeight="1" x14ac:dyDescent="0.25">
      <c r="H38"/>
      <c r="I38"/>
      <c r="J38"/>
      <c r="K38"/>
      <c r="L38"/>
      <c r="M38"/>
      <c r="N38"/>
      <c r="O38"/>
      <c r="P38"/>
      <c r="Q38"/>
      <c r="R38"/>
      <c r="S38"/>
      <c r="T38"/>
      <c r="Y38"/>
      <c r="AC38"/>
      <c r="AD38"/>
      <c r="AE38"/>
      <c r="AF38"/>
      <c r="AG38"/>
      <c r="AH38"/>
      <c r="AI38"/>
      <c r="AJ38"/>
      <c r="AK38"/>
    </row>
    <row r="39" spans="8:37" ht="16.5" customHeight="1" x14ac:dyDescent="0.25">
      <c r="H39"/>
      <c r="I39"/>
      <c r="J39"/>
      <c r="K39"/>
      <c r="L39"/>
      <c r="M39"/>
      <c r="N39"/>
      <c r="O39"/>
      <c r="P39"/>
      <c r="Q39"/>
      <c r="R39"/>
      <c r="S39"/>
      <c r="T39"/>
      <c r="Y39"/>
      <c r="AC39"/>
      <c r="AD39"/>
      <c r="AE39"/>
      <c r="AF39"/>
      <c r="AG39"/>
      <c r="AH39"/>
      <c r="AI39"/>
      <c r="AJ39"/>
      <c r="AK39"/>
    </row>
    <row r="40" spans="8:37" ht="16.5" customHeight="1" x14ac:dyDescent="0.25">
      <c r="H40"/>
      <c r="I40"/>
      <c r="J40"/>
      <c r="K40"/>
      <c r="L40"/>
      <c r="M40"/>
      <c r="N40"/>
      <c r="O40"/>
      <c r="P40"/>
      <c r="Q40"/>
      <c r="R40"/>
      <c r="S40"/>
      <c r="T40"/>
      <c r="Y40"/>
      <c r="AC40"/>
      <c r="AD40"/>
      <c r="AE40"/>
      <c r="AF40"/>
      <c r="AG40"/>
      <c r="AH40"/>
      <c r="AI40"/>
      <c r="AJ40"/>
      <c r="AK40"/>
    </row>
    <row r="41" spans="8:37" ht="16.5" customHeight="1" x14ac:dyDescent="0.25">
      <c r="H41"/>
      <c r="I41"/>
      <c r="J41"/>
      <c r="K41"/>
      <c r="L41"/>
      <c r="M41"/>
      <c r="N41"/>
      <c r="O41"/>
      <c r="P41"/>
      <c r="Q41"/>
      <c r="R41"/>
      <c r="S41"/>
      <c r="T41"/>
      <c r="Y41"/>
      <c r="AC41"/>
      <c r="AD41"/>
      <c r="AE41"/>
      <c r="AF41"/>
      <c r="AG41"/>
      <c r="AH41"/>
      <c r="AI41"/>
      <c r="AJ41"/>
      <c r="AK41"/>
    </row>
    <row r="42" spans="8:37" ht="16.5" customHeight="1" x14ac:dyDescent="0.25">
      <c r="H42"/>
      <c r="I42"/>
      <c r="J42"/>
      <c r="K42"/>
      <c r="L42"/>
      <c r="M42"/>
      <c r="N42"/>
      <c r="O42"/>
      <c r="P42"/>
      <c r="Q42"/>
      <c r="R42"/>
      <c r="S42"/>
      <c r="T42"/>
      <c r="Y42"/>
      <c r="AC42"/>
      <c r="AD42"/>
      <c r="AE42"/>
      <c r="AF42"/>
      <c r="AG42"/>
      <c r="AH42"/>
      <c r="AI42"/>
      <c r="AJ42"/>
      <c r="AK42"/>
    </row>
    <row r="43" spans="8:37" ht="16.5" customHeight="1" x14ac:dyDescent="0.25">
      <c r="H43"/>
      <c r="I43"/>
      <c r="J43"/>
      <c r="K43"/>
      <c r="L43"/>
      <c r="M43"/>
      <c r="N43"/>
      <c r="O43"/>
      <c r="P43"/>
      <c r="Q43"/>
      <c r="R43"/>
      <c r="S43"/>
      <c r="T43"/>
      <c r="Y43"/>
      <c r="AE43"/>
      <c r="AF43"/>
      <c r="AG43"/>
      <c r="AH43"/>
      <c r="AI43"/>
    </row>
    <row r="44" spans="8:37" ht="16.5" customHeight="1" x14ac:dyDescent="0.25">
      <c r="H44"/>
      <c r="I44"/>
      <c r="J44"/>
      <c r="K44"/>
      <c r="L44"/>
      <c r="M44"/>
      <c r="N44"/>
      <c r="O44"/>
      <c r="P44"/>
      <c r="Q44"/>
      <c r="R44"/>
      <c r="S44"/>
      <c r="T44"/>
      <c r="Y44"/>
      <c r="AE44"/>
      <c r="AF44"/>
      <c r="AG44"/>
      <c r="AH44"/>
      <c r="AI44"/>
    </row>
    <row r="45" spans="8:37" ht="16.5" customHeight="1" x14ac:dyDescent="0.25">
      <c r="H45"/>
      <c r="I45"/>
      <c r="J45"/>
      <c r="K45"/>
      <c r="L45"/>
      <c r="M45"/>
      <c r="N45"/>
      <c r="O45"/>
      <c r="P45"/>
      <c r="Q45"/>
      <c r="R45"/>
      <c r="S45"/>
      <c r="T45"/>
      <c r="Y45"/>
      <c r="AE45"/>
      <c r="AF45"/>
      <c r="AG45"/>
      <c r="AH45"/>
    </row>
    <row r="46" spans="8:37" ht="16.5" customHeight="1" x14ac:dyDescent="0.25">
      <c r="H46"/>
      <c r="I46"/>
      <c r="J46"/>
      <c r="K46"/>
      <c r="L46"/>
      <c r="M46"/>
      <c r="N46"/>
      <c r="O46"/>
      <c r="P46"/>
      <c r="Q46"/>
      <c r="R46"/>
      <c r="S46"/>
      <c r="T46"/>
      <c r="Y46"/>
    </row>
    <row r="47" spans="8:37" ht="16.5" customHeight="1" x14ac:dyDescent="0.25">
      <c r="H47"/>
      <c r="I47"/>
      <c r="J47"/>
      <c r="K47"/>
      <c r="L47"/>
      <c r="M47"/>
      <c r="N47"/>
      <c r="O47"/>
      <c r="P47"/>
      <c r="Q47"/>
      <c r="R47"/>
      <c r="S47"/>
      <c r="T47"/>
      <c r="Y47"/>
    </row>
    <row r="48" spans="8:37" ht="16.5" customHeight="1" x14ac:dyDescent="0.25">
      <c r="H48"/>
      <c r="I48"/>
      <c r="J48"/>
      <c r="K48"/>
      <c r="L48"/>
      <c r="M48"/>
      <c r="N48"/>
      <c r="O48"/>
      <c r="P48"/>
      <c r="Q48"/>
      <c r="R48"/>
      <c r="S48"/>
      <c r="T48"/>
      <c r="Y48"/>
    </row>
    <row r="49" spans="8:20" ht="16.5" customHeight="1" x14ac:dyDescent="0.25">
      <c r="H49"/>
      <c r="I49"/>
      <c r="J49"/>
      <c r="K49"/>
      <c r="L49"/>
      <c r="M49"/>
      <c r="N49"/>
      <c r="O49"/>
      <c r="P49"/>
      <c r="Q49"/>
      <c r="R49"/>
      <c r="S49"/>
      <c r="T49"/>
    </row>
    <row r="50" spans="8:20" ht="16.5" customHeight="1" x14ac:dyDescent="0.25">
      <c r="H50"/>
      <c r="I50"/>
      <c r="J50"/>
      <c r="K50"/>
      <c r="L50"/>
      <c r="M50"/>
      <c r="N50"/>
      <c r="O50"/>
      <c r="P50"/>
      <c r="Q50"/>
      <c r="R50"/>
      <c r="S50"/>
      <c r="T50"/>
    </row>
    <row r="51" spans="8:20" ht="16.5" customHeight="1" x14ac:dyDescent="0.25">
      <c r="H51"/>
      <c r="I51"/>
      <c r="J51"/>
      <c r="K51"/>
      <c r="L51"/>
      <c r="M51"/>
      <c r="N51"/>
      <c r="O51"/>
      <c r="P51"/>
      <c r="Q51"/>
      <c r="R51"/>
      <c r="S51"/>
      <c r="T51"/>
    </row>
    <row r="52" spans="8:20" ht="16.5" customHeight="1" x14ac:dyDescent="0.25">
      <c r="H52"/>
      <c r="I52"/>
      <c r="J52"/>
      <c r="K52"/>
      <c r="L52"/>
      <c r="M52"/>
      <c r="N52"/>
      <c r="O52"/>
      <c r="P52"/>
      <c r="Q52"/>
      <c r="R52"/>
      <c r="S52"/>
      <c r="T52"/>
    </row>
    <row r="53" spans="8:20" ht="16.5" customHeight="1" x14ac:dyDescent="0.25">
      <c r="H53"/>
      <c r="I53"/>
      <c r="J53"/>
      <c r="K53"/>
      <c r="L53"/>
      <c r="M53"/>
      <c r="N53"/>
      <c r="O53"/>
      <c r="P53"/>
      <c r="Q53"/>
      <c r="R53"/>
      <c r="S53"/>
      <c r="T53"/>
    </row>
    <row r="54" spans="8:20" ht="16.5" customHeight="1" x14ac:dyDescent="0.25">
      <c r="H54"/>
      <c r="I54"/>
      <c r="J54"/>
      <c r="K54"/>
      <c r="L54"/>
      <c r="M54"/>
      <c r="N54"/>
      <c r="O54"/>
      <c r="P54"/>
      <c r="Q54"/>
      <c r="R54"/>
      <c r="S54"/>
      <c r="T54"/>
    </row>
    <row r="55" spans="8:20" ht="16.5" customHeight="1" x14ac:dyDescent="0.25">
      <c r="L55"/>
      <c r="M55"/>
      <c r="N55"/>
      <c r="O55"/>
      <c r="P55"/>
      <c r="Q55"/>
      <c r="R55"/>
      <c r="S55"/>
      <c r="T55"/>
    </row>
    <row r="56" spans="8:20" ht="16.5" customHeight="1" x14ac:dyDescent="0.25">
      <c r="L56"/>
      <c r="M56"/>
      <c r="N56"/>
      <c r="O56"/>
      <c r="P56"/>
      <c r="Q56"/>
      <c r="R56"/>
      <c r="S56"/>
      <c r="T56"/>
    </row>
    <row r="57" spans="8:20" ht="16.5" customHeight="1" x14ac:dyDescent="0.25">
      <c r="L57"/>
      <c r="M57"/>
      <c r="N57"/>
      <c r="O57"/>
      <c r="P57"/>
      <c r="Q57"/>
      <c r="R57"/>
      <c r="S57"/>
      <c r="T57"/>
    </row>
    <row r="58" spans="8:20" ht="16.5" customHeight="1" x14ac:dyDescent="0.25">
      <c r="L58"/>
      <c r="M58"/>
      <c r="N58"/>
      <c r="O58"/>
      <c r="P58"/>
      <c r="Q58"/>
      <c r="R58"/>
      <c r="S58"/>
      <c r="T58"/>
    </row>
    <row r="59" spans="8:20" ht="16.5" customHeight="1" x14ac:dyDescent="0.25">
      <c r="L59"/>
      <c r="M59"/>
      <c r="N59"/>
      <c r="O59"/>
      <c r="P59"/>
      <c r="Q59"/>
      <c r="R59"/>
      <c r="S59"/>
      <c r="T59"/>
    </row>
    <row r="60" spans="8:20" ht="16.5" customHeight="1" x14ac:dyDescent="0.25">
      <c r="L60"/>
      <c r="M60"/>
      <c r="N60"/>
      <c r="O60"/>
      <c r="P60"/>
      <c r="Q60"/>
      <c r="R60"/>
      <c r="S60"/>
      <c r="T60"/>
    </row>
    <row r="61" spans="8:20" ht="16.5" customHeight="1" x14ac:dyDescent="0.25">
      <c r="L61"/>
      <c r="M61"/>
      <c r="N61"/>
      <c r="O61"/>
      <c r="P61"/>
      <c r="Q61"/>
      <c r="R61"/>
      <c r="S61"/>
      <c r="T61"/>
    </row>
    <row r="62" spans="8:20" ht="16.5" customHeight="1" x14ac:dyDescent="0.25">
      <c r="L62"/>
      <c r="M62"/>
      <c r="N62"/>
      <c r="O62"/>
      <c r="P62"/>
      <c r="Q62"/>
      <c r="R62"/>
      <c r="S62"/>
      <c r="T62"/>
    </row>
    <row r="63" spans="8:20" ht="16.5" customHeight="1" x14ac:dyDescent="0.25">
      <c r="L63"/>
      <c r="M63"/>
      <c r="N63"/>
      <c r="O63"/>
      <c r="P63"/>
      <c r="Q63"/>
      <c r="R63"/>
      <c r="S63"/>
      <c r="T63"/>
    </row>
    <row r="64" spans="8:20" ht="16.5" customHeight="1" x14ac:dyDescent="0.25">
      <c r="L64"/>
      <c r="M64"/>
      <c r="N64"/>
      <c r="O64"/>
      <c r="P64"/>
      <c r="Q64"/>
      <c r="R64"/>
      <c r="S64"/>
      <c r="T64"/>
    </row>
    <row r="65" spans="12:20" ht="16.5" customHeight="1" x14ac:dyDescent="0.25">
      <c r="L65"/>
      <c r="M65"/>
      <c r="N65"/>
      <c r="O65"/>
      <c r="P65"/>
      <c r="Q65"/>
      <c r="R65"/>
      <c r="S65"/>
      <c r="T65"/>
    </row>
    <row r="66" spans="12:20" ht="16.5" customHeight="1" x14ac:dyDescent="0.25">
      <c r="L66"/>
      <c r="M66"/>
      <c r="N66"/>
      <c r="O66"/>
      <c r="P66"/>
      <c r="Q66"/>
      <c r="R66"/>
      <c r="S66"/>
      <c r="T66"/>
    </row>
    <row r="67" spans="12:20" ht="16.5" customHeight="1" x14ac:dyDescent="0.25">
      <c r="L67"/>
      <c r="M67"/>
      <c r="N67"/>
      <c r="O67"/>
      <c r="P67"/>
      <c r="Q67"/>
      <c r="R67"/>
      <c r="S67"/>
      <c r="T67"/>
    </row>
    <row r="68" spans="12:20" ht="16.5" customHeight="1" x14ac:dyDescent="0.25">
      <c r="L68"/>
      <c r="M68"/>
      <c r="N68"/>
      <c r="O68"/>
      <c r="P68"/>
      <c r="Q68"/>
      <c r="R68"/>
      <c r="S68"/>
      <c r="T68"/>
    </row>
    <row r="69" spans="12:20" ht="16.5" customHeight="1" x14ac:dyDescent="0.25">
      <c r="L69"/>
      <c r="M69"/>
      <c r="N69"/>
      <c r="O69"/>
      <c r="P69"/>
      <c r="Q69"/>
      <c r="R69"/>
      <c r="S69"/>
      <c r="T69"/>
    </row>
    <row r="70" spans="12:20" ht="16.5" customHeight="1" x14ac:dyDescent="0.25">
      <c r="L70"/>
      <c r="M70"/>
      <c r="N70"/>
      <c r="O70"/>
      <c r="P70"/>
      <c r="Q70"/>
      <c r="R70"/>
      <c r="S70"/>
      <c r="T70"/>
    </row>
    <row r="71" spans="12:20" ht="16.5" customHeight="1" x14ac:dyDescent="0.25">
      <c r="L71"/>
      <c r="M71"/>
      <c r="N71"/>
      <c r="O71"/>
      <c r="P71"/>
      <c r="Q71"/>
      <c r="R71"/>
      <c r="S71"/>
      <c r="T71"/>
    </row>
    <row r="72" spans="12:20" ht="16.5" customHeight="1" x14ac:dyDescent="0.25">
      <c r="L72"/>
      <c r="M72"/>
      <c r="N72"/>
      <c r="O72"/>
      <c r="P72"/>
      <c r="Q72"/>
      <c r="R72"/>
      <c r="S72"/>
      <c r="T72"/>
    </row>
    <row r="73" spans="12:20" ht="16.5" customHeight="1" x14ac:dyDescent="0.25">
      <c r="L73"/>
      <c r="M73"/>
      <c r="N73"/>
      <c r="O73"/>
      <c r="P73"/>
      <c r="Q73"/>
      <c r="R73"/>
      <c r="S73"/>
      <c r="T73"/>
    </row>
    <row r="74" spans="12:20" ht="16.5" customHeight="1" x14ac:dyDescent="0.25">
      <c r="L74"/>
      <c r="M74"/>
      <c r="N74"/>
      <c r="O74"/>
      <c r="P74"/>
      <c r="Q74"/>
      <c r="R74"/>
      <c r="S74"/>
      <c r="T74"/>
    </row>
    <row r="75" spans="12:20" ht="16.5" customHeight="1" x14ac:dyDescent="0.25">
      <c r="L75"/>
      <c r="M75"/>
      <c r="N75"/>
      <c r="O75"/>
      <c r="P75"/>
      <c r="Q75"/>
      <c r="R75"/>
      <c r="S75"/>
      <c r="T75"/>
    </row>
    <row r="76" spans="12:20" ht="16.5" customHeight="1" x14ac:dyDescent="0.25">
      <c r="L76"/>
      <c r="M76"/>
      <c r="N76"/>
      <c r="O76"/>
      <c r="P76"/>
      <c r="Q76"/>
      <c r="R76"/>
      <c r="S76"/>
      <c r="T76"/>
    </row>
    <row r="77" spans="12:20" ht="16.5" customHeight="1" x14ac:dyDescent="0.25">
      <c r="L77"/>
      <c r="M77"/>
      <c r="N77"/>
      <c r="O77"/>
      <c r="P77"/>
      <c r="Q77"/>
      <c r="R77"/>
      <c r="S77"/>
      <c r="T77"/>
    </row>
    <row r="78" spans="12:20" ht="16.5" customHeight="1" x14ac:dyDescent="0.25">
      <c r="L78"/>
      <c r="M78"/>
      <c r="N78"/>
      <c r="O78"/>
      <c r="P78"/>
      <c r="Q78"/>
      <c r="R78"/>
      <c r="S78"/>
      <c r="T78"/>
    </row>
    <row r="79" spans="12:20" ht="16.5" customHeight="1" x14ac:dyDescent="0.25">
      <c r="L79"/>
      <c r="M79"/>
      <c r="N79"/>
      <c r="O79"/>
      <c r="P79"/>
      <c r="Q79"/>
      <c r="R79"/>
      <c r="S79"/>
      <c r="T79"/>
    </row>
    <row r="80" spans="12:20" ht="16.5" customHeight="1" x14ac:dyDescent="0.25">
      <c r="L80"/>
      <c r="M80"/>
      <c r="N80"/>
      <c r="O80"/>
      <c r="P80"/>
      <c r="Q80"/>
      <c r="R80"/>
      <c r="S80"/>
      <c r="T80"/>
    </row>
    <row r="81" spans="12:20" ht="16.5" customHeight="1" x14ac:dyDescent="0.25">
      <c r="L81"/>
      <c r="M81"/>
      <c r="N81"/>
      <c r="O81"/>
      <c r="P81"/>
      <c r="Q81"/>
      <c r="R81"/>
      <c r="S81"/>
      <c r="T81"/>
    </row>
    <row r="82" spans="12:20" ht="16.5" customHeight="1" x14ac:dyDescent="0.25">
      <c r="L82"/>
      <c r="M82"/>
      <c r="N82"/>
      <c r="O82"/>
      <c r="P82"/>
      <c r="Q82"/>
      <c r="R82"/>
      <c r="S82"/>
      <c r="T82"/>
    </row>
  </sheetData>
  <sheetProtection selectLockedCells="1"/>
  <mergeCells count="8">
    <mergeCell ref="P2:AC3"/>
    <mergeCell ref="P4:AD4"/>
    <mergeCell ref="B6:M13"/>
    <mergeCell ref="B2:C2"/>
    <mergeCell ref="D2:M4"/>
    <mergeCell ref="B3:C3"/>
    <mergeCell ref="B4:C5"/>
    <mergeCell ref="D5:M5"/>
  </mergeCells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11"/>
  <sheetViews>
    <sheetView tabSelected="1" workbookViewId="0">
      <selection activeCell="I39" sqref="I39"/>
    </sheetView>
  </sheetViews>
  <sheetFormatPr defaultRowHeight="15" x14ac:dyDescent="0.25"/>
  <cols>
    <col min="1" max="1" width="13.28515625" customWidth="1"/>
    <col min="5" max="5" width="7.42578125" bestFit="1" customWidth="1"/>
    <col min="7" max="7" width="14.28515625" bestFit="1" customWidth="1"/>
    <col min="8" max="8" width="20.7109375" customWidth="1"/>
    <col min="9" max="9" width="16.5703125" bestFit="1" customWidth="1"/>
    <col min="10" max="10" width="13.140625" customWidth="1"/>
    <col min="11" max="11" width="16.7109375" customWidth="1"/>
    <col min="12" max="12" width="15.85546875" customWidth="1"/>
    <col min="13" max="13" width="15" customWidth="1"/>
    <col min="14" max="14" width="16" customWidth="1"/>
    <col min="16" max="16" width="16" bestFit="1" customWidth="1"/>
    <col min="17" max="17" width="14.7109375" bestFit="1" customWidth="1"/>
    <col min="18" max="18" width="13.7109375" bestFit="1" customWidth="1"/>
    <col min="19" max="19" width="14.5703125" bestFit="1" customWidth="1"/>
  </cols>
  <sheetData>
    <row r="1" spans="1:22" ht="15.75" x14ac:dyDescent="0.25">
      <c r="A1" s="10" t="s">
        <v>212</v>
      </c>
      <c r="B1" s="251" t="s">
        <v>6</v>
      </c>
      <c r="C1" s="10" t="s">
        <v>211</v>
      </c>
      <c r="D1" s="252" t="s">
        <v>223</v>
      </c>
      <c r="E1" s="252" t="s">
        <v>224</v>
      </c>
      <c r="F1" s="361" t="s">
        <v>225</v>
      </c>
      <c r="H1" t="s">
        <v>38</v>
      </c>
      <c r="J1" s="372" t="s">
        <v>230</v>
      </c>
      <c r="T1" s="363"/>
      <c r="U1" s="363"/>
      <c r="V1" s="363"/>
    </row>
    <row r="2" spans="1:22" ht="16.5" thickBot="1" x14ac:dyDescent="0.3">
      <c r="A2" s="10" t="s">
        <v>209</v>
      </c>
      <c r="B2" s="254">
        <v>105</v>
      </c>
      <c r="C2" s="11">
        <v>16</v>
      </c>
      <c r="D2" s="253">
        <f>IF('Questão 4 - Variáveis Binárias'!S13="A",1,0)</f>
        <v>1</v>
      </c>
      <c r="E2" s="253">
        <f>IF('Questão 4 - Variáveis Binárias'!S13="B",1,0)</f>
        <v>0</v>
      </c>
      <c r="F2" s="362">
        <f>IF('Questão 4 - Variáveis Binárias'!S13="C",1,0)</f>
        <v>0</v>
      </c>
      <c r="G2" s="363"/>
      <c r="T2" s="364"/>
      <c r="U2" s="364"/>
      <c r="V2" s="364"/>
    </row>
    <row r="3" spans="1:22" ht="15.75" x14ac:dyDescent="0.25">
      <c r="A3" s="10" t="s">
        <v>208</v>
      </c>
      <c r="B3" s="254">
        <v>98</v>
      </c>
      <c r="C3" s="11">
        <v>31</v>
      </c>
      <c r="D3" s="253">
        <f>IF('Questão 4 - Variáveis Binárias'!S14="A",1,0)</f>
        <v>0</v>
      </c>
      <c r="E3" s="253">
        <f>IF('Questão 4 - Variáveis Binárias'!S14="B",1,0)</f>
        <v>1</v>
      </c>
      <c r="F3" s="362">
        <f>IF('Questão 4 - Variáveis Binárias'!S14="C",1,0)</f>
        <v>0</v>
      </c>
      <c r="G3" s="363"/>
      <c r="H3" s="15" t="s">
        <v>39</v>
      </c>
      <c r="I3" s="15"/>
      <c r="L3" s="255"/>
      <c r="M3" s="256" t="s">
        <v>37</v>
      </c>
      <c r="N3" s="256" t="s">
        <v>87</v>
      </c>
      <c r="O3" s="56" t="s">
        <v>88</v>
      </c>
      <c r="T3" s="365"/>
      <c r="U3" s="365"/>
      <c r="V3" s="365"/>
    </row>
    <row r="4" spans="1:22" ht="15.75" x14ac:dyDescent="0.25">
      <c r="A4" s="10" t="s">
        <v>207</v>
      </c>
      <c r="B4" s="254">
        <v>114</v>
      </c>
      <c r="C4" s="11">
        <v>15</v>
      </c>
      <c r="D4" s="253">
        <f>IF('Questão 4 - Variáveis Binárias'!S15="A",1,0)</f>
        <v>1</v>
      </c>
      <c r="E4" s="253">
        <f>IF('Questão 4 - Variáveis Binárias'!S15="B",1,0)</f>
        <v>0</v>
      </c>
      <c r="F4" s="362">
        <f>IF('Questão 4 - Variáveis Binárias'!S15="C",1,0)</f>
        <v>0</v>
      </c>
      <c r="G4" s="363"/>
      <c r="H4" s="12" t="s">
        <v>40</v>
      </c>
      <c r="I4" s="12">
        <v>0.48614423357984093</v>
      </c>
      <c r="L4" s="24" t="s">
        <v>89</v>
      </c>
      <c r="M4" s="57">
        <f>K17</f>
        <v>6.1987375401286995</v>
      </c>
      <c r="N4" s="57">
        <f>K18</f>
        <v>-1.5051583453817967</v>
      </c>
      <c r="O4" s="58">
        <f>K19</f>
        <v>0.8080483549333507</v>
      </c>
      <c r="P4" s="378" t="s">
        <v>238</v>
      </c>
      <c r="T4" s="366"/>
      <c r="U4" s="366"/>
      <c r="V4" s="366"/>
    </row>
    <row r="5" spans="1:22" ht="16.5" thickBot="1" x14ac:dyDescent="0.3">
      <c r="A5" s="10" t="s">
        <v>206</v>
      </c>
      <c r="B5" s="254">
        <v>99</v>
      </c>
      <c r="C5" s="11">
        <v>21</v>
      </c>
      <c r="D5" s="253">
        <f>IF('Questão 4 - Variáveis Binárias'!S16="A",1,0)</f>
        <v>0</v>
      </c>
      <c r="E5" s="253">
        <f>IF('Questão 4 - Variáveis Binárias'!S16="B",1,0)</f>
        <v>0</v>
      </c>
      <c r="F5" s="362">
        <f>IF('Questão 4 - Variáveis Binárias'!S16="C",1,0)</f>
        <v>1</v>
      </c>
      <c r="G5" s="363"/>
      <c r="H5" s="12" t="s">
        <v>41</v>
      </c>
      <c r="I5" s="369">
        <v>0.23633621584293094</v>
      </c>
      <c r="L5" s="27" t="s">
        <v>90</v>
      </c>
      <c r="M5" s="354">
        <f>_xlfn.T.INV(5%,I13)</f>
        <v>-1.7822875556493194</v>
      </c>
      <c r="N5" s="354"/>
      <c r="O5" s="355"/>
      <c r="T5" s="363"/>
      <c r="U5" s="363"/>
      <c r="V5" s="363"/>
    </row>
    <row r="6" spans="1:22" ht="15.75" x14ac:dyDescent="0.25">
      <c r="A6" s="10" t="s">
        <v>205</v>
      </c>
      <c r="B6" s="254">
        <v>93</v>
      </c>
      <c r="C6" s="11">
        <v>7</v>
      </c>
      <c r="D6" s="253">
        <f>IF('Questão 4 - Variáveis Binárias'!S17="A",1,0)</f>
        <v>0</v>
      </c>
      <c r="E6" s="253">
        <f>IF('Questão 4 - Variáveis Binárias'!S17="B",1,0)</f>
        <v>1</v>
      </c>
      <c r="F6" s="362">
        <f>IF('Questão 4 - Variáveis Binárias'!S17="C",1,0)</f>
        <v>0</v>
      </c>
      <c r="G6" s="363"/>
      <c r="H6" s="12" t="s">
        <v>42</v>
      </c>
      <c r="I6" s="369">
        <v>0.10905891848341942</v>
      </c>
      <c r="T6" s="363"/>
      <c r="U6" s="363"/>
      <c r="V6" s="363"/>
    </row>
    <row r="7" spans="1:22" ht="15.75" x14ac:dyDescent="0.25">
      <c r="A7" s="10" t="s">
        <v>204</v>
      </c>
      <c r="B7" s="254">
        <v>46</v>
      </c>
      <c r="C7" s="11">
        <v>25</v>
      </c>
      <c r="D7" s="253">
        <f>IF('Questão 4 - Variáveis Binárias'!S18="A",1,0)</f>
        <v>1</v>
      </c>
      <c r="E7" s="253">
        <f>IF('Questão 4 - Variáveis Binárias'!S18="B",1,0)</f>
        <v>0</v>
      </c>
      <c r="F7" s="362">
        <f>IF('Questão 4 - Variáveis Binárias'!S18="C",1,0)</f>
        <v>0</v>
      </c>
      <c r="G7" s="363"/>
      <c r="H7" s="12" t="s">
        <v>43</v>
      </c>
      <c r="I7" s="12">
        <v>27.308298018896195</v>
      </c>
      <c r="T7" s="363"/>
      <c r="U7" s="363"/>
      <c r="V7" s="363"/>
    </row>
    <row r="8" spans="1:22" ht="16.5" thickBot="1" x14ac:dyDescent="0.3">
      <c r="A8" s="10" t="s">
        <v>203</v>
      </c>
      <c r="B8" s="254">
        <v>73</v>
      </c>
      <c r="C8" s="11">
        <v>33</v>
      </c>
      <c r="D8" s="253">
        <f>IF('Questão 4 - Variáveis Binárias'!S19="A",1,0)</f>
        <v>0</v>
      </c>
      <c r="E8" s="253">
        <f>IF('Questão 4 - Variáveis Binárias'!S19="B",1,0)</f>
        <v>0</v>
      </c>
      <c r="F8" s="362">
        <f>IF('Questão 4 - Variáveis Binárias'!S19="C",1,0)</f>
        <v>1</v>
      </c>
      <c r="G8" s="363"/>
      <c r="H8" s="13" t="s">
        <v>44</v>
      </c>
      <c r="I8" s="13">
        <v>15</v>
      </c>
      <c r="T8" s="363"/>
      <c r="U8" s="363"/>
      <c r="V8" s="363"/>
    </row>
    <row r="9" spans="1:22" ht="15.75" x14ac:dyDescent="0.25">
      <c r="A9" s="10" t="s">
        <v>202</v>
      </c>
      <c r="B9" s="254">
        <v>52</v>
      </c>
      <c r="C9" s="11">
        <v>10</v>
      </c>
      <c r="D9" s="253">
        <f>IF('Questão 4 - Variáveis Binárias'!S20="A",1,0)</f>
        <v>0</v>
      </c>
      <c r="E9" s="253">
        <f>IF('Questão 4 - Variáveis Binárias'!S20="B",1,0)</f>
        <v>1</v>
      </c>
      <c r="F9" s="362">
        <f>IF('Questão 4 - Variáveis Binárias'!S20="C",1,0)</f>
        <v>0</v>
      </c>
      <c r="G9" s="363"/>
      <c r="T9" s="363"/>
      <c r="U9" s="363"/>
      <c r="V9" s="363"/>
    </row>
    <row r="10" spans="1:22" ht="16.5" thickBot="1" x14ac:dyDescent="0.3">
      <c r="A10" s="10" t="s">
        <v>201</v>
      </c>
      <c r="B10" s="254">
        <v>108</v>
      </c>
      <c r="C10" s="11">
        <v>16</v>
      </c>
      <c r="D10" s="253">
        <f>IF('Questão 4 - Variáveis Binárias'!S21="A",1,0)</f>
        <v>1</v>
      </c>
      <c r="E10" s="253">
        <f>IF('Questão 4 - Variáveis Binárias'!S21="B",1,0)</f>
        <v>0</v>
      </c>
      <c r="F10" s="362">
        <f>IF('Questão 4 - Variáveis Binárias'!S21="C",1,0)</f>
        <v>0</v>
      </c>
      <c r="G10" s="363"/>
      <c r="H10" s="367" t="s">
        <v>45</v>
      </c>
      <c r="I10" s="367"/>
      <c r="J10" s="367"/>
      <c r="K10" s="367"/>
      <c r="L10" s="367"/>
      <c r="M10" s="367"/>
      <c r="T10" s="363"/>
      <c r="U10" s="363"/>
      <c r="V10" s="363"/>
    </row>
    <row r="11" spans="1:22" ht="15.75" x14ac:dyDescent="0.25">
      <c r="A11" s="10" t="s">
        <v>200</v>
      </c>
      <c r="B11" s="254">
        <v>75</v>
      </c>
      <c r="C11" s="11">
        <v>40</v>
      </c>
      <c r="D11" s="253">
        <f>IF('Questão 4 - Variáveis Binárias'!S22="A",1,0)</f>
        <v>0</v>
      </c>
      <c r="E11" s="253">
        <f>IF('Questão 4 - Variáveis Binárias'!S22="B",1,0)</f>
        <v>0</v>
      </c>
      <c r="F11" s="362">
        <f>IF('Questão 4 - Variáveis Binárias'!S22="C",1,0)</f>
        <v>1</v>
      </c>
      <c r="G11" s="363"/>
      <c r="H11" s="14"/>
      <c r="I11" s="14" t="s">
        <v>50</v>
      </c>
      <c r="J11" s="14" t="s">
        <v>51</v>
      </c>
      <c r="K11" s="14" t="s">
        <v>52</v>
      </c>
      <c r="L11" s="14" t="s">
        <v>53</v>
      </c>
      <c r="M11" s="14" t="s">
        <v>54</v>
      </c>
      <c r="T11" s="363"/>
      <c r="U11" s="363"/>
      <c r="V11" s="363"/>
    </row>
    <row r="12" spans="1:22" ht="15.75" x14ac:dyDescent="0.25">
      <c r="A12" s="10" t="s">
        <v>199</v>
      </c>
      <c r="B12" s="254">
        <v>68</v>
      </c>
      <c r="C12" s="11">
        <v>18</v>
      </c>
      <c r="D12" s="253">
        <f>IF('Questão 4 - Variáveis Binárias'!S23="A",1,0)</f>
        <v>0</v>
      </c>
      <c r="E12" s="253">
        <f>IF('Questão 4 - Variáveis Binárias'!S23="B",1,0)</f>
        <v>0</v>
      </c>
      <c r="F12" s="362">
        <f>IF('Questão 4 - Variáveis Binárias'!S23="C",1,0)</f>
        <v>1</v>
      </c>
      <c r="G12" s="363"/>
      <c r="H12" s="12" t="s">
        <v>46</v>
      </c>
      <c r="I12" s="12">
        <v>2</v>
      </c>
      <c r="J12" s="12">
        <v>2769.4823117338019</v>
      </c>
      <c r="K12" s="12">
        <v>1384.741155866901</v>
      </c>
      <c r="L12" s="12">
        <v>1.8568607343646537</v>
      </c>
      <c r="M12" s="12">
        <v>0.19834130718587892</v>
      </c>
      <c r="N12" s="378" t="s">
        <v>237</v>
      </c>
      <c r="T12" s="363"/>
      <c r="U12" s="363"/>
      <c r="V12" s="363"/>
    </row>
    <row r="13" spans="1:22" ht="15.75" x14ac:dyDescent="0.25">
      <c r="A13" s="10" t="s">
        <v>198</v>
      </c>
      <c r="B13" s="254">
        <v>121</v>
      </c>
      <c r="C13" s="11">
        <v>5</v>
      </c>
      <c r="D13" s="253">
        <f>IF('Questão 4 - Variáveis Binárias'!S24="A",1,0)</f>
        <v>0</v>
      </c>
      <c r="E13" s="253">
        <f>IF('Questão 4 - Variáveis Binárias'!S24="B",1,0)</f>
        <v>0</v>
      </c>
      <c r="F13" s="362">
        <f>IF('Questão 4 - Variáveis Binárias'!S24="C",1,0)</f>
        <v>1</v>
      </c>
      <c r="G13" s="363"/>
      <c r="H13" s="12" t="s">
        <v>47</v>
      </c>
      <c r="I13" s="12">
        <v>12</v>
      </c>
      <c r="J13" s="12">
        <v>8948.9176882661977</v>
      </c>
      <c r="K13" s="12">
        <v>745.74314068884985</v>
      </c>
      <c r="L13" s="12"/>
      <c r="M13" s="12"/>
      <c r="T13" s="363"/>
      <c r="U13" s="363"/>
      <c r="V13" s="363"/>
    </row>
    <row r="14" spans="1:22" ht="16.5" thickBot="1" x14ac:dyDescent="0.3">
      <c r="A14" s="10" t="s">
        <v>196</v>
      </c>
      <c r="B14" s="254">
        <v>153</v>
      </c>
      <c r="C14" s="11">
        <v>9</v>
      </c>
      <c r="D14" s="253">
        <f>IF('Questão 4 - Variáveis Binárias'!S25="A",1,0)</f>
        <v>1</v>
      </c>
      <c r="E14" s="253">
        <f>IF('Questão 4 - Variáveis Binárias'!S25="B",1,0)</f>
        <v>0</v>
      </c>
      <c r="F14" s="362">
        <f>IF('Questão 4 - Variáveis Binárias'!S25="C",1,0)</f>
        <v>0</v>
      </c>
      <c r="G14" s="363"/>
      <c r="H14" s="13" t="s">
        <v>48</v>
      </c>
      <c r="I14" s="13">
        <v>14</v>
      </c>
      <c r="J14" s="13">
        <v>11718.4</v>
      </c>
      <c r="K14" s="13"/>
      <c r="L14" s="13"/>
      <c r="M14" s="13"/>
      <c r="T14" s="363"/>
      <c r="U14" s="363"/>
      <c r="V14" s="363"/>
    </row>
    <row r="15" spans="1:22" ht="16.5" thickBot="1" x14ac:dyDescent="0.3">
      <c r="A15" s="10" t="s">
        <v>194</v>
      </c>
      <c r="B15" s="254">
        <v>121</v>
      </c>
      <c r="C15" s="11">
        <v>19</v>
      </c>
      <c r="D15" s="253">
        <f>IF('Questão 4 - Variáveis Binárias'!S26="A",1,0)</f>
        <v>0</v>
      </c>
      <c r="E15" s="253">
        <f>IF('Questão 4 - Variáveis Binárias'!S26="B",1,0)</f>
        <v>1</v>
      </c>
      <c r="F15" s="253">
        <f>IF('Questão 4 - Variáveis Binárias'!S26="C",1,0)</f>
        <v>0</v>
      </c>
    </row>
    <row r="16" spans="1:22" ht="15.75" x14ac:dyDescent="0.25">
      <c r="A16" s="10" t="s">
        <v>193</v>
      </c>
      <c r="B16" s="254">
        <v>72</v>
      </c>
      <c r="C16" s="11">
        <v>28</v>
      </c>
      <c r="D16" s="253">
        <f>IF('Questão 4 - Variáveis Binárias'!S27="A",1,0)</f>
        <v>0</v>
      </c>
      <c r="E16" s="253">
        <f>IF('Questão 4 - Variáveis Binárias'!S27="B",1,0)</f>
        <v>1</v>
      </c>
      <c r="F16" s="253">
        <f>IF('Questão 4 - Variáveis Binárias'!S27="C",1,0)</f>
        <v>0</v>
      </c>
      <c r="H16" s="14"/>
      <c r="I16" s="14" t="s">
        <v>55</v>
      </c>
      <c r="J16" s="14" t="s">
        <v>43</v>
      </c>
      <c r="K16" s="14" t="s">
        <v>56</v>
      </c>
      <c r="L16" s="14" t="s">
        <v>57</v>
      </c>
      <c r="M16" s="14" t="s">
        <v>58</v>
      </c>
      <c r="N16" s="14" t="s">
        <v>59</v>
      </c>
      <c r="O16" s="14" t="s">
        <v>60</v>
      </c>
      <c r="P16" s="14" t="s">
        <v>61</v>
      </c>
    </row>
    <row r="17" spans="8:18" x14ac:dyDescent="0.25">
      <c r="H17" s="12" t="s">
        <v>49</v>
      </c>
      <c r="I17" s="12">
        <v>110.73905429071806</v>
      </c>
      <c r="J17" s="12">
        <v>17.864775460136496</v>
      </c>
      <c r="K17" s="12">
        <v>6.1987375401286995</v>
      </c>
      <c r="L17" s="12">
        <v>4.5952752309304164E-5</v>
      </c>
      <c r="M17" s="12">
        <v>71.815052319048391</v>
      </c>
      <c r="N17" s="12">
        <v>149.66305626238773</v>
      </c>
      <c r="O17" s="12">
        <v>71.815052319048391</v>
      </c>
      <c r="P17" s="12">
        <v>149.66305626238773</v>
      </c>
    </row>
    <row r="18" spans="8:18" x14ac:dyDescent="0.25">
      <c r="H18" s="12" t="s">
        <v>211</v>
      </c>
      <c r="I18" s="12">
        <v>-1.110332749562172</v>
      </c>
      <c r="J18" s="12">
        <v>0.73768501033060829</v>
      </c>
      <c r="K18" s="12">
        <v>-1.5051583453817967</v>
      </c>
      <c r="L18" s="12">
        <v>0.1581430009085599</v>
      </c>
      <c r="M18" s="12">
        <v>-2.7176103143237036</v>
      </c>
      <c r="N18" s="12">
        <v>0.4969448151993594</v>
      </c>
      <c r="O18" s="12">
        <v>-2.7176103143237036</v>
      </c>
      <c r="P18" s="12">
        <v>0.4969448151993594</v>
      </c>
    </row>
    <row r="19" spans="8:18" ht="15.75" thickBot="1" x14ac:dyDescent="0.3">
      <c r="H19" s="13" t="s">
        <v>223</v>
      </c>
      <c r="I19" s="13">
        <v>12.448336252189142</v>
      </c>
      <c r="J19" s="13">
        <v>15.405434806207733</v>
      </c>
      <c r="K19" s="13">
        <v>0.8080483549333507</v>
      </c>
      <c r="L19" s="13">
        <v>0.43478934902604283</v>
      </c>
      <c r="M19" s="13">
        <v>-21.117222750178335</v>
      </c>
      <c r="N19" s="13">
        <v>46.013895254556623</v>
      </c>
      <c r="O19" s="13">
        <v>-21.117222750178335</v>
      </c>
      <c r="P19" s="13">
        <v>46.013895254556623</v>
      </c>
    </row>
    <row r="21" spans="8:18" ht="15.75" x14ac:dyDescent="0.25">
      <c r="H21" t="s">
        <v>38</v>
      </c>
      <c r="J21" s="372" t="s">
        <v>231</v>
      </c>
    </row>
    <row r="22" spans="8:18" ht="15.75" thickBot="1" x14ac:dyDescent="0.3"/>
    <row r="23" spans="8:18" x14ac:dyDescent="0.25">
      <c r="H23" s="15" t="s">
        <v>39</v>
      </c>
      <c r="I23" s="15"/>
      <c r="K23" s="363"/>
      <c r="L23" s="255"/>
      <c r="M23" s="256" t="s">
        <v>37</v>
      </c>
      <c r="N23" s="256" t="s">
        <v>87</v>
      </c>
      <c r="O23" s="256" t="s">
        <v>88</v>
      </c>
      <c r="P23" s="256" t="s">
        <v>130</v>
      </c>
      <c r="Q23" s="56" t="s">
        <v>131</v>
      </c>
    </row>
    <row r="24" spans="8:18" x14ac:dyDescent="0.25">
      <c r="H24" s="12" t="s">
        <v>40</v>
      </c>
      <c r="I24" s="12">
        <v>0.49154305878799387</v>
      </c>
      <c r="K24" s="363"/>
      <c r="L24" s="24" t="s">
        <v>89</v>
      </c>
      <c r="M24" s="57">
        <f>K36</f>
        <v>6.9020053681277718</v>
      </c>
      <c r="N24" s="57">
        <f>K37</f>
        <v>-1.4723191726144071</v>
      </c>
      <c r="O24" s="57">
        <f>K38</f>
        <v>65535</v>
      </c>
      <c r="P24" s="373">
        <f>K39</f>
        <v>-0.81599016314495476</v>
      </c>
      <c r="Q24" s="374">
        <f>K40</f>
        <v>-0.51561940246563098</v>
      </c>
      <c r="R24" s="378" t="s">
        <v>238</v>
      </c>
    </row>
    <row r="25" spans="8:18" ht="15.75" thickBot="1" x14ac:dyDescent="0.3">
      <c r="H25" s="12" t="s">
        <v>41</v>
      </c>
      <c r="I25" s="369">
        <v>0.2416145786426572</v>
      </c>
      <c r="K25" s="368"/>
      <c r="L25" s="27" t="s">
        <v>90</v>
      </c>
      <c r="M25" s="354">
        <f>_xlfn.T.INV(5%,I32)</f>
        <v>-1.7958848187040437</v>
      </c>
      <c r="N25" s="354"/>
      <c r="O25" s="354"/>
      <c r="P25" s="354"/>
      <c r="Q25" s="355"/>
    </row>
    <row r="26" spans="8:18" x14ac:dyDescent="0.25">
      <c r="H26" s="12" t="s">
        <v>42</v>
      </c>
      <c r="I26" s="369">
        <v>-5.6126899909345364E-2</v>
      </c>
      <c r="K26" s="12"/>
      <c r="L26" s="12"/>
      <c r="M26" s="12"/>
      <c r="N26" s="363"/>
      <c r="O26" s="373"/>
      <c r="P26" s="373"/>
      <c r="Q26" s="373"/>
    </row>
    <row r="27" spans="8:18" x14ac:dyDescent="0.25">
      <c r="H27" s="12" t="s">
        <v>43</v>
      </c>
      <c r="I27" s="12">
        <v>28.423843578673498</v>
      </c>
      <c r="K27" s="12"/>
      <c r="L27" s="12"/>
      <c r="M27" s="12"/>
      <c r="N27" s="363"/>
    </row>
    <row r="28" spans="8:18" ht="15.75" thickBot="1" x14ac:dyDescent="0.3">
      <c r="H28" s="13" t="s">
        <v>44</v>
      </c>
      <c r="I28" s="13">
        <v>15</v>
      </c>
      <c r="K28" s="12"/>
      <c r="L28" s="12"/>
      <c r="M28" s="12"/>
      <c r="N28" s="363"/>
    </row>
    <row r="29" spans="8:18" ht="15.75" thickBot="1" x14ac:dyDescent="0.3">
      <c r="H29" s="367" t="s">
        <v>45</v>
      </c>
      <c r="I29" s="367"/>
      <c r="J29" s="367"/>
      <c r="K29" s="367"/>
      <c r="L29" s="367"/>
      <c r="M29" s="367"/>
    </row>
    <row r="30" spans="8:18" x14ac:dyDescent="0.25">
      <c r="H30" s="14"/>
      <c r="I30" s="14" t="s">
        <v>50</v>
      </c>
      <c r="J30" s="14" t="s">
        <v>51</v>
      </c>
      <c r="K30" s="14" t="s">
        <v>52</v>
      </c>
      <c r="L30" s="14" t="s">
        <v>53</v>
      </c>
      <c r="M30" s="14" t="s">
        <v>54</v>
      </c>
    </row>
    <row r="31" spans="8:18" x14ac:dyDescent="0.25">
      <c r="H31" s="12" t="s">
        <v>46</v>
      </c>
      <c r="I31" s="12">
        <v>4</v>
      </c>
      <c r="J31" s="12">
        <v>2831.3362783661141</v>
      </c>
      <c r="K31" s="12">
        <v>707.83406959152853</v>
      </c>
      <c r="L31" s="12">
        <v>1.1681660759039134</v>
      </c>
      <c r="M31" s="12">
        <v>0.38118937624527671</v>
      </c>
      <c r="N31" s="378" t="s">
        <v>237</v>
      </c>
    </row>
    <row r="32" spans="8:18" x14ac:dyDescent="0.25">
      <c r="H32" s="12" t="s">
        <v>47</v>
      </c>
      <c r="I32" s="12">
        <v>11</v>
      </c>
      <c r="J32" s="12">
        <v>8887.0637216338855</v>
      </c>
      <c r="K32" s="12">
        <v>807.91488378489873</v>
      </c>
      <c r="L32" s="12"/>
      <c r="M32" s="12"/>
    </row>
    <row r="33" spans="1:20" ht="15.75" thickBot="1" x14ac:dyDescent="0.3">
      <c r="H33" s="13" t="s">
        <v>48</v>
      </c>
      <c r="I33" s="13">
        <v>15</v>
      </c>
      <c r="J33" s="13">
        <v>11718.4</v>
      </c>
      <c r="K33" s="13"/>
      <c r="L33" s="13"/>
      <c r="M33" s="13"/>
    </row>
    <row r="34" spans="1:20" ht="15.75" thickBot="1" x14ac:dyDescent="0.3"/>
    <row r="35" spans="1:20" x14ac:dyDescent="0.25">
      <c r="H35" s="14"/>
      <c r="I35" s="14" t="s">
        <v>55</v>
      </c>
      <c r="J35" s="14" t="s">
        <v>43</v>
      </c>
      <c r="K35" s="14" t="s">
        <v>56</v>
      </c>
      <c r="L35" s="14" t="s">
        <v>57</v>
      </c>
      <c r="M35" s="14" t="s">
        <v>58</v>
      </c>
      <c r="N35" s="14" t="s">
        <v>59</v>
      </c>
      <c r="O35" s="14" t="s">
        <v>60</v>
      </c>
      <c r="P35" s="14" t="s">
        <v>61</v>
      </c>
    </row>
    <row r="36" spans="1:20" x14ac:dyDescent="0.25">
      <c r="H36" s="12" t="s">
        <v>49</v>
      </c>
      <c r="I36" s="12">
        <v>123.84593040847203</v>
      </c>
      <c r="J36" s="12">
        <v>17.943470600641724</v>
      </c>
      <c r="K36" s="12">
        <v>6.9020053681277718</v>
      </c>
      <c r="L36" s="12">
        <v>2.5807381823506778E-5</v>
      </c>
      <c r="M36" s="12">
        <v>84.352617895918996</v>
      </c>
      <c r="N36" s="12">
        <v>163.33924292102506</v>
      </c>
      <c r="O36" s="12">
        <v>84.352617895918996</v>
      </c>
      <c r="P36" s="12">
        <v>163.33924292102506</v>
      </c>
    </row>
    <row r="37" spans="1:20" x14ac:dyDescent="0.25">
      <c r="H37" s="12" t="s">
        <v>211</v>
      </c>
      <c r="I37" s="12">
        <v>-1.1509833585476557</v>
      </c>
      <c r="J37" s="12">
        <v>0.78174853656483101</v>
      </c>
      <c r="K37" s="12">
        <v>-1.4723191726144071</v>
      </c>
      <c r="L37" s="12">
        <v>0.16896047386211022</v>
      </c>
      <c r="M37" s="12">
        <v>-2.8716002864502039</v>
      </c>
      <c r="N37" s="12">
        <v>0.56963356935489284</v>
      </c>
      <c r="O37" s="12">
        <v>-2.8716002864502039</v>
      </c>
      <c r="P37" s="12">
        <v>0.56963356935489284</v>
      </c>
    </row>
    <row r="38" spans="1:20" x14ac:dyDescent="0.25">
      <c r="H38" s="12" t="s">
        <v>223</v>
      </c>
      <c r="I38" s="12">
        <v>0</v>
      </c>
      <c r="J38" s="12">
        <v>0</v>
      </c>
      <c r="K38" s="12">
        <v>65535</v>
      </c>
      <c r="L38" s="12" t="e">
        <v>#NUM!</v>
      </c>
      <c r="M38" s="12">
        <v>0</v>
      </c>
      <c r="N38" s="12">
        <v>0</v>
      </c>
      <c r="O38" s="12">
        <v>0</v>
      </c>
      <c r="P38" s="12">
        <v>0</v>
      </c>
    </row>
    <row r="39" spans="1:20" x14ac:dyDescent="0.25">
      <c r="H39" s="12" t="s">
        <v>224</v>
      </c>
      <c r="I39" s="12">
        <v>-14.777246596066567</v>
      </c>
      <c r="J39" s="12">
        <v>18.109589139056197</v>
      </c>
      <c r="K39" s="12">
        <v>-0.81599016314495476</v>
      </c>
      <c r="L39" s="12" t="e">
        <v>#NUM!</v>
      </c>
      <c r="M39" s="12">
        <v>-54.636183546485967</v>
      </c>
      <c r="N39" s="12">
        <v>25.08169035435283</v>
      </c>
      <c r="O39" s="12">
        <v>-54.636183546485967</v>
      </c>
      <c r="P39" s="12">
        <v>25.08169035435283</v>
      </c>
    </row>
    <row r="40" spans="1:20" ht="15.75" thickBot="1" x14ac:dyDescent="0.3">
      <c r="H40" s="13" t="s">
        <v>225</v>
      </c>
      <c r="I40" s="13">
        <v>-9.7129198184568821</v>
      </c>
      <c r="J40" s="13">
        <v>18.83738232504605</v>
      </c>
      <c r="K40" s="13">
        <v>-0.51561940246563098</v>
      </c>
      <c r="L40" s="13">
        <v>0.61632482483467532</v>
      </c>
      <c r="M40" s="13">
        <v>-51.173718770855764</v>
      </c>
      <c r="N40" s="13">
        <v>31.747879133942</v>
      </c>
      <c r="O40" s="13">
        <v>-51.173718770855764</v>
      </c>
      <c r="P40" s="13">
        <v>31.747879133942</v>
      </c>
    </row>
    <row r="42" spans="1:20" s="370" customFormat="1" x14ac:dyDescent="0.25">
      <c r="K42" s="371"/>
      <c r="L42" s="371"/>
      <c r="M42" s="371"/>
      <c r="N42" s="371"/>
    </row>
    <row r="43" spans="1:20" ht="15.75" x14ac:dyDescent="0.25">
      <c r="A43" s="10" t="s">
        <v>212</v>
      </c>
      <c r="B43" s="251" t="s">
        <v>6</v>
      </c>
      <c r="C43" s="10" t="s">
        <v>211</v>
      </c>
      <c r="D43" s="252" t="s">
        <v>223</v>
      </c>
      <c r="E43" s="252" t="s">
        <v>224</v>
      </c>
      <c r="F43" s="361" t="s">
        <v>225</v>
      </c>
      <c r="G43" s="252" t="s">
        <v>229</v>
      </c>
      <c r="I43" t="s">
        <v>38</v>
      </c>
      <c r="K43" s="372" t="s">
        <v>232</v>
      </c>
    </row>
    <row r="44" spans="1:20" ht="16.5" thickBot="1" x14ac:dyDescent="0.3">
      <c r="A44" s="10" t="s">
        <v>209</v>
      </c>
      <c r="B44" s="254">
        <v>105</v>
      </c>
      <c r="C44" s="11">
        <v>16</v>
      </c>
      <c r="D44" s="253">
        <v>1</v>
      </c>
      <c r="E44" s="253">
        <v>0</v>
      </c>
      <c r="F44" s="362">
        <v>0</v>
      </c>
      <c r="G44" s="253">
        <f>IF('Questão 4 - Variáveis Binárias'!T13="Mulher",1,0)</f>
        <v>0</v>
      </c>
    </row>
    <row r="45" spans="1:20" ht="15.75" x14ac:dyDescent="0.25">
      <c r="A45" s="10" t="s">
        <v>208</v>
      </c>
      <c r="B45" s="254">
        <v>98</v>
      </c>
      <c r="C45" s="11">
        <v>31</v>
      </c>
      <c r="D45" s="253">
        <v>0</v>
      </c>
      <c r="E45" s="253">
        <v>1</v>
      </c>
      <c r="F45" s="362">
        <v>0</v>
      </c>
      <c r="G45" s="253">
        <f>IF('Questão 4 - Variáveis Binárias'!T14="Mulher",1,0)</f>
        <v>1</v>
      </c>
      <c r="I45" s="15" t="s">
        <v>39</v>
      </c>
      <c r="J45" s="15"/>
      <c r="M45" s="255"/>
      <c r="N45" s="256" t="s">
        <v>37</v>
      </c>
      <c r="O45" s="256" t="s">
        <v>87</v>
      </c>
      <c r="P45" s="256" t="s">
        <v>88</v>
      </c>
      <c r="Q45" s="256" t="s">
        <v>130</v>
      </c>
      <c r="R45" s="256" t="s">
        <v>131</v>
      </c>
      <c r="S45" s="56" t="s">
        <v>132</v>
      </c>
    </row>
    <row r="46" spans="1:20" ht="15.75" x14ac:dyDescent="0.25">
      <c r="A46" s="10" t="s">
        <v>207</v>
      </c>
      <c r="B46" s="254">
        <v>114</v>
      </c>
      <c r="C46" s="11">
        <v>15</v>
      </c>
      <c r="D46" s="253">
        <v>1</v>
      </c>
      <c r="E46" s="253">
        <v>0</v>
      </c>
      <c r="F46" s="362">
        <v>0</v>
      </c>
      <c r="G46" s="253">
        <f>IF('Questão 4 - Variáveis Binárias'!T15="Mulher",1,0)</f>
        <v>0</v>
      </c>
      <c r="I46" s="12" t="s">
        <v>40</v>
      </c>
      <c r="J46" s="12">
        <v>0.49674383500764613</v>
      </c>
      <c r="M46" s="24" t="s">
        <v>89</v>
      </c>
      <c r="N46" s="57">
        <f>L59</f>
        <v>4.8786105493805945</v>
      </c>
      <c r="O46" s="57">
        <f>L60</f>
        <v>-1.2838665607942663</v>
      </c>
      <c r="P46" s="57">
        <f>L61</f>
        <v>0.55781680341389106</v>
      </c>
      <c r="Q46" s="57">
        <f>L62</f>
        <v>65535</v>
      </c>
      <c r="R46" s="57">
        <f>L63</f>
        <v>0.19458344046831377</v>
      </c>
      <c r="S46" s="58">
        <f>L64</f>
        <v>-0.26122053267629441</v>
      </c>
      <c r="T46" s="378" t="s">
        <v>239</v>
      </c>
    </row>
    <row r="47" spans="1:20" ht="16.5" thickBot="1" x14ac:dyDescent="0.3">
      <c r="A47" s="10" t="s">
        <v>206</v>
      </c>
      <c r="B47" s="254">
        <v>99</v>
      </c>
      <c r="C47" s="11">
        <v>21</v>
      </c>
      <c r="D47" s="253">
        <v>0</v>
      </c>
      <c r="E47" s="253">
        <v>0</v>
      </c>
      <c r="F47" s="362">
        <v>1</v>
      </c>
      <c r="G47" s="253">
        <f>IF('Questão 4 - Variáveis Binárias'!T16="Mulher",1,0)</f>
        <v>1</v>
      </c>
      <c r="I47" s="12" t="s">
        <v>41</v>
      </c>
      <c r="J47" s="369">
        <v>0.24675443761810353</v>
      </c>
      <c r="M47" s="27" t="s">
        <v>90</v>
      </c>
      <c r="N47" s="354">
        <f>_xlfn.T.INV(5%,J55)</f>
        <v>-1.812461122811676</v>
      </c>
      <c r="O47" s="354"/>
      <c r="P47" s="354"/>
      <c r="Q47" s="354"/>
      <c r="R47" s="354"/>
      <c r="S47" s="355"/>
    </row>
    <row r="48" spans="1:20" ht="15.75" x14ac:dyDescent="0.25">
      <c r="A48" s="10" t="s">
        <v>205</v>
      </c>
      <c r="B48" s="254">
        <v>93</v>
      </c>
      <c r="C48" s="11">
        <v>7</v>
      </c>
      <c r="D48" s="253">
        <v>0</v>
      </c>
      <c r="E48" s="253">
        <v>1</v>
      </c>
      <c r="F48" s="362">
        <v>0</v>
      </c>
      <c r="G48" s="253">
        <f>IF('Questão 4 - Variáveis Binárias'!T17="Mulher",1,0)</f>
        <v>0</v>
      </c>
      <c r="I48" s="12" t="s">
        <v>42</v>
      </c>
      <c r="J48" s="369">
        <v>-0.15454378733465504</v>
      </c>
    </row>
    <row r="49" spans="1:17" ht="15.75" x14ac:dyDescent="0.25">
      <c r="A49" s="10" t="s">
        <v>204</v>
      </c>
      <c r="B49" s="254">
        <v>46</v>
      </c>
      <c r="C49" s="11">
        <v>25</v>
      </c>
      <c r="D49" s="253">
        <v>1</v>
      </c>
      <c r="E49" s="253">
        <v>0</v>
      </c>
      <c r="F49" s="362">
        <v>0</v>
      </c>
      <c r="G49" s="253">
        <f>IF('Questão 4 - Variáveis Binárias'!T18="Mulher",1,0)</f>
        <v>1</v>
      </c>
      <c r="I49" s="12" t="s">
        <v>43</v>
      </c>
      <c r="J49" s="12">
        <v>29.709986196927147</v>
      </c>
    </row>
    <row r="50" spans="1:17" ht="16.5" thickBot="1" x14ac:dyDescent="0.3">
      <c r="A50" s="10" t="s">
        <v>203</v>
      </c>
      <c r="B50" s="254">
        <v>73</v>
      </c>
      <c r="C50" s="11">
        <v>33</v>
      </c>
      <c r="D50" s="253">
        <v>0</v>
      </c>
      <c r="E50" s="253">
        <v>0</v>
      </c>
      <c r="F50" s="362">
        <v>1</v>
      </c>
      <c r="G50" s="253">
        <f>IF('Questão 4 - Variáveis Binárias'!T19="Mulher",1,0)</f>
        <v>0</v>
      </c>
      <c r="I50" s="13" t="s">
        <v>44</v>
      </c>
      <c r="J50" s="13">
        <v>15</v>
      </c>
    </row>
    <row r="51" spans="1:17" ht="15.75" x14ac:dyDescent="0.25">
      <c r="A51" s="10" t="s">
        <v>202</v>
      </c>
      <c r="B51" s="254">
        <v>52</v>
      </c>
      <c r="C51" s="11">
        <v>10</v>
      </c>
      <c r="D51" s="253">
        <v>0</v>
      </c>
      <c r="E51" s="253">
        <v>1</v>
      </c>
      <c r="F51" s="362">
        <v>0</v>
      </c>
      <c r="G51" s="253">
        <f>IF('Questão 4 - Variáveis Binárias'!T20="Mulher",1,0)</f>
        <v>1</v>
      </c>
    </row>
    <row r="52" spans="1:17" ht="16.5" thickBot="1" x14ac:dyDescent="0.3">
      <c r="A52" s="10" t="s">
        <v>201</v>
      </c>
      <c r="B52" s="254">
        <v>108</v>
      </c>
      <c r="C52" s="11">
        <v>16</v>
      </c>
      <c r="D52" s="253">
        <v>1</v>
      </c>
      <c r="E52" s="253">
        <v>0</v>
      </c>
      <c r="F52" s="362">
        <v>0</v>
      </c>
      <c r="G52" s="253">
        <f>IF('Questão 4 - Variáveis Binárias'!T21="Mulher",1,0)</f>
        <v>0</v>
      </c>
      <c r="I52" t="s">
        <v>45</v>
      </c>
    </row>
    <row r="53" spans="1:17" ht="15.75" x14ac:dyDescent="0.25">
      <c r="A53" s="10" t="s">
        <v>200</v>
      </c>
      <c r="B53" s="254">
        <v>75</v>
      </c>
      <c r="C53" s="11">
        <v>40</v>
      </c>
      <c r="D53" s="253">
        <v>0</v>
      </c>
      <c r="E53" s="253">
        <v>0</v>
      </c>
      <c r="F53" s="362">
        <v>1</v>
      </c>
      <c r="G53" s="253">
        <f>IF('Questão 4 - Variáveis Binárias'!T22="Mulher",1,0)</f>
        <v>1</v>
      </c>
      <c r="I53" s="14"/>
      <c r="J53" s="14" t="s">
        <v>50</v>
      </c>
      <c r="K53" s="14" t="s">
        <v>51</v>
      </c>
      <c r="L53" s="14" t="s">
        <v>52</v>
      </c>
      <c r="M53" s="14" t="s">
        <v>53</v>
      </c>
      <c r="N53" s="14" t="s">
        <v>54</v>
      </c>
    </row>
    <row r="54" spans="1:17" ht="15.75" x14ac:dyDescent="0.25">
      <c r="A54" s="10" t="s">
        <v>199</v>
      </c>
      <c r="B54" s="254">
        <v>68</v>
      </c>
      <c r="C54" s="11">
        <v>18</v>
      </c>
      <c r="D54" s="253">
        <v>0</v>
      </c>
      <c r="E54" s="253">
        <v>0</v>
      </c>
      <c r="F54" s="362">
        <v>1</v>
      </c>
      <c r="G54" s="253">
        <f>IF('Questão 4 - Variáveis Binárias'!T23="Mulher",1,0)</f>
        <v>0</v>
      </c>
      <c r="I54" s="12" t="s">
        <v>46</v>
      </c>
      <c r="J54" s="12">
        <v>5</v>
      </c>
      <c r="K54" s="12">
        <v>2891.5672017839843</v>
      </c>
      <c r="L54" s="12">
        <v>578.31344035679683</v>
      </c>
      <c r="M54" s="12">
        <v>0.81897076445369987</v>
      </c>
      <c r="N54" s="12">
        <v>0.56557739150501884</v>
      </c>
      <c r="O54" s="378" t="s">
        <v>237</v>
      </c>
    </row>
    <row r="55" spans="1:17" ht="15.75" x14ac:dyDescent="0.25">
      <c r="A55" s="10" t="s">
        <v>198</v>
      </c>
      <c r="B55" s="254">
        <v>121</v>
      </c>
      <c r="C55" s="11">
        <v>5</v>
      </c>
      <c r="D55" s="253">
        <v>0</v>
      </c>
      <c r="E55" s="253">
        <v>0</v>
      </c>
      <c r="F55" s="362">
        <v>1</v>
      </c>
      <c r="G55" s="253">
        <f>IF('Questão 4 - Variáveis Binárias'!T24="Mulher",1,0)</f>
        <v>1</v>
      </c>
      <c r="I55" s="12" t="s">
        <v>47</v>
      </c>
      <c r="J55" s="12">
        <v>10</v>
      </c>
      <c r="K55" s="12">
        <v>8826.8327982160154</v>
      </c>
      <c r="L55" s="12">
        <v>882.68327982160156</v>
      </c>
      <c r="M55" s="12"/>
      <c r="N55" s="12"/>
    </row>
    <row r="56" spans="1:17" ht="16.5" thickBot="1" x14ac:dyDescent="0.3">
      <c r="A56" s="10" t="s">
        <v>196</v>
      </c>
      <c r="B56" s="254">
        <v>153</v>
      </c>
      <c r="C56" s="11">
        <v>9</v>
      </c>
      <c r="D56" s="253">
        <v>1</v>
      </c>
      <c r="E56" s="253">
        <v>0</v>
      </c>
      <c r="F56" s="362">
        <v>0</v>
      </c>
      <c r="G56" s="253">
        <f>IF('Questão 4 - Variáveis Binárias'!T25="Mulher",1,0)</f>
        <v>0</v>
      </c>
      <c r="I56" s="13" t="s">
        <v>48</v>
      </c>
      <c r="J56" s="13">
        <v>15</v>
      </c>
      <c r="K56" s="13">
        <v>11718.4</v>
      </c>
      <c r="L56" s="13"/>
      <c r="M56" s="13"/>
      <c r="N56" s="13"/>
    </row>
    <row r="57" spans="1:17" ht="16.5" thickBot="1" x14ac:dyDescent="0.3">
      <c r="A57" s="10" t="s">
        <v>194</v>
      </c>
      <c r="B57" s="254">
        <v>121</v>
      </c>
      <c r="C57" s="11">
        <v>19</v>
      </c>
      <c r="D57" s="253">
        <v>0</v>
      </c>
      <c r="E57" s="253">
        <v>1</v>
      </c>
      <c r="F57" s="253">
        <v>0</v>
      </c>
      <c r="G57" s="253">
        <f>IF('Questão 4 - Variáveis Binárias'!T26="Mulher",1,0)</f>
        <v>1</v>
      </c>
    </row>
    <row r="58" spans="1:17" ht="15.75" x14ac:dyDescent="0.25">
      <c r="A58" s="10" t="s">
        <v>193</v>
      </c>
      <c r="B58" s="254">
        <v>72</v>
      </c>
      <c r="C58" s="11">
        <v>28</v>
      </c>
      <c r="D58" s="253">
        <v>0</v>
      </c>
      <c r="E58" s="253">
        <v>1</v>
      </c>
      <c r="F58" s="253">
        <v>0</v>
      </c>
      <c r="G58" s="253">
        <f>IF('Questão 4 - Variáveis Binárias'!T27="Mulher",1,0)</f>
        <v>1</v>
      </c>
      <c r="I58" s="14"/>
      <c r="J58" s="14" t="s">
        <v>55</v>
      </c>
      <c r="K58" s="14" t="s">
        <v>43</v>
      </c>
      <c r="L58" s="14" t="s">
        <v>56</v>
      </c>
      <c r="M58" s="14" t="s">
        <v>57</v>
      </c>
      <c r="N58" s="14" t="s">
        <v>58</v>
      </c>
      <c r="O58" s="14" t="s">
        <v>59</v>
      </c>
      <c r="P58" s="14" t="s">
        <v>60</v>
      </c>
      <c r="Q58" s="14" t="s">
        <v>61</v>
      </c>
    </row>
    <row r="59" spans="1:17" x14ac:dyDescent="0.25">
      <c r="I59" s="12" t="s">
        <v>49</v>
      </c>
      <c r="J59" s="12">
        <v>111.77525072678662</v>
      </c>
      <c r="K59" s="12">
        <v>22.911287874982765</v>
      </c>
      <c r="L59" s="12">
        <v>4.8786105493805945</v>
      </c>
      <c r="M59" s="12">
        <v>6.4329252495597046E-4</v>
      </c>
      <c r="N59" s="12">
        <v>60.72572006349548</v>
      </c>
      <c r="O59" s="12">
        <v>162.82478139007776</v>
      </c>
      <c r="P59" s="12">
        <v>60.72572006349548</v>
      </c>
      <c r="Q59" s="12">
        <v>162.82478139007776</v>
      </c>
    </row>
    <row r="60" spans="1:17" x14ac:dyDescent="0.25">
      <c r="I60" s="12" t="s">
        <v>211</v>
      </c>
      <c r="J60" s="12">
        <v>-1.0904484477706042</v>
      </c>
      <c r="K60" s="12">
        <v>0.84934718378831864</v>
      </c>
      <c r="L60" s="12">
        <v>-1.2838665607942663</v>
      </c>
      <c r="M60" s="12">
        <v>0.22813771309832254</v>
      </c>
      <c r="N60" s="12">
        <v>-2.9829119067944836</v>
      </c>
      <c r="O60" s="12">
        <v>0.80201501125327535</v>
      </c>
      <c r="P60" s="12">
        <v>-2.9829119067944836</v>
      </c>
      <c r="Q60" s="12">
        <v>0.80201501125327535</v>
      </c>
    </row>
    <row r="61" spans="1:17" x14ac:dyDescent="0.25">
      <c r="I61" s="12" t="s">
        <v>223</v>
      </c>
      <c r="J61" s="12">
        <v>12.054196681883472</v>
      </c>
      <c r="K61" s="12">
        <v>21.609597645877031</v>
      </c>
      <c r="L61" s="12">
        <v>0.55781680341389106</v>
      </c>
      <c r="M61" s="12">
        <v>0.58923820652509529</v>
      </c>
      <c r="N61" s="12">
        <v>-36.094987408686279</v>
      </c>
      <c r="O61" s="12">
        <v>60.203380772453215</v>
      </c>
      <c r="P61" s="12">
        <v>-36.094987408686279</v>
      </c>
      <c r="Q61" s="12">
        <v>60.203380772453215</v>
      </c>
    </row>
    <row r="62" spans="1:17" x14ac:dyDescent="0.25">
      <c r="I62" s="12" t="s">
        <v>224</v>
      </c>
      <c r="J62" s="12">
        <v>0</v>
      </c>
      <c r="K62" s="12">
        <v>0</v>
      </c>
      <c r="L62" s="12">
        <v>65535</v>
      </c>
      <c r="M62" s="12" t="e">
        <v>#NUM!</v>
      </c>
      <c r="N62" s="12">
        <v>0</v>
      </c>
      <c r="O62" s="12">
        <v>0</v>
      </c>
      <c r="P62" s="12">
        <v>0</v>
      </c>
      <c r="Q62" s="12">
        <v>0</v>
      </c>
    </row>
    <row r="63" spans="1:17" x14ac:dyDescent="0.25">
      <c r="I63" s="12" t="s">
        <v>225</v>
      </c>
      <c r="J63" s="12">
        <v>3.8337906154043764</v>
      </c>
      <c r="K63" s="12">
        <v>19.702553342552683</v>
      </c>
      <c r="L63" s="12">
        <v>0.19458344046831377</v>
      </c>
      <c r="M63" s="12" t="e">
        <v>#NUM!</v>
      </c>
      <c r="N63" s="12">
        <v>-40.066233970469291</v>
      </c>
      <c r="O63" s="12">
        <v>47.733815201278041</v>
      </c>
      <c r="P63" s="12">
        <v>-40.066233970469291</v>
      </c>
      <c r="Q63" s="12">
        <v>47.733815201278041</v>
      </c>
    </row>
    <row r="64" spans="1:17" ht="15.75" thickBot="1" x14ac:dyDescent="0.3">
      <c r="I64" s="13" t="s">
        <v>229</v>
      </c>
      <c r="J64" s="13">
        <v>-4.8209127739314157</v>
      </c>
      <c r="K64" s="13">
        <v>18.455336280572979</v>
      </c>
      <c r="L64" s="13">
        <v>-0.26122053267629441</v>
      </c>
      <c r="M64" s="13">
        <v>0.79922347341005695</v>
      </c>
      <c r="N64" s="13">
        <v>-45.941964567147934</v>
      </c>
      <c r="O64" s="13">
        <v>36.300139019285098</v>
      </c>
      <c r="P64" s="13">
        <v>-45.941964567147934</v>
      </c>
      <c r="Q64" s="13">
        <v>36.300139019285098</v>
      </c>
    </row>
    <row r="66" spans="1:19" s="370" customFormat="1" x14ac:dyDescent="0.25"/>
    <row r="67" spans="1:19" ht="15.75" x14ac:dyDescent="0.25">
      <c r="A67" s="10" t="s">
        <v>212</v>
      </c>
      <c r="B67" s="251" t="s">
        <v>6</v>
      </c>
      <c r="C67" s="10" t="s">
        <v>234</v>
      </c>
      <c r="D67" s="252" t="s">
        <v>223</v>
      </c>
      <c r="E67" s="252" t="s">
        <v>224</v>
      </c>
      <c r="F67" s="252" t="s">
        <v>225</v>
      </c>
      <c r="G67" s="252" t="s">
        <v>229</v>
      </c>
      <c r="I67" t="s">
        <v>38</v>
      </c>
      <c r="K67" s="372" t="s">
        <v>233</v>
      </c>
    </row>
    <row r="68" spans="1:19" ht="16.5" thickBot="1" x14ac:dyDescent="0.3">
      <c r="A68" s="10" t="s">
        <v>209</v>
      </c>
      <c r="B68" s="254">
        <v>105</v>
      </c>
      <c r="C68" s="257">
        <f>IF('Questão 4 - Variáveis Binárias'!R13&lt;20,'Questão 4 - Variáveis Binárias'!R13,20)</f>
        <v>16</v>
      </c>
      <c r="D68" s="253">
        <v>1</v>
      </c>
      <c r="E68" s="253">
        <v>0</v>
      </c>
      <c r="F68" s="253">
        <v>0</v>
      </c>
      <c r="G68" s="253">
        <v>0</v>
      </c>
    </row>
    <row r="69" spans="1:19" ht="15.75" x14ac:dyDescent="0.25">
      <c r="A69" s="10" t="s">
        <v>208</v>
      </c>
      <c r="B69" s="254">
        <v>98</v>
      </c>
      <c r="C69" s="257">
        <f>IF('Questão 4 - Variáveis Binárias'!R14&lt;20,'Questão 4 - Variáveis Binárias'!R14,20)</f>
        <v>20</v>
      </c>
      <c r="D69" s="253">
        <v>0</v>
      </c>
      <c r="E69" s="253">
        <v>1</v>
      </c>
      <c r="F69" s="253">
        <v>0</v>
      </c>
      <c r="G69" s="253">
        <v>1</v>
      </c>
      <c r="I69" s="15" t="s">
        <v>39</v>
      </c>
      <c r="J69" s="15"/>
      <c r="M69" s="255"/>
      <c r="N69" s="256" t="s">
        <v>37</v>
      </c>
      <c r="O69" s="256" t="s">
        <v>87</v>
      </c>
      <c r="P69" s="256" t="s">
        <v>88</v>
      </c>
      <c r="Q69" s="256" t="s">
        <v>130</v>
      </c>
      <c r="R69" s="56" t="s">
        <v>131</v>
      </c>
    </row>
    <row r="70" spans="1:19" ht="15.75" x14ac:dyDescent="0.25">
      <c r="A70" s="10" t="s">
        <v>207</v>
      </c>
      <c r="B70" s="254">
        <v>114</v>
      </c>
      <c r="C70" s="257">
        <f>IF('Questão 4 - Variáveis Binárias'!R15&lt;20,'Questão 4 - Variáveis Binárias'!R15,20)</f>
        <v>15</v>
      </c>
      <c r="D70" s="253">
        <v>1</v>
      </c>
      <c r="E70" s="253">
        <v>0</v>
      </c>
      <c r="F70" s="253">
        <v>0</v>
      </c>
      <c r="G70" s="253">
        <v>0</v>
      </c>
      <c r="I70" s="12" t="s">
        <v>40</v>
      </c>
      <c r="J70" s="12">
        <v>0.48450830806791112</v>
      </c>
      <c r="M70" s="24" t="s">
        <v>89</v>
      </c>
      <c r="N70" s="36">
        <f>L83</f>
        <v>5.3726149074512382</v>
      </c>
      <c r="O70" s="36">
        <f>L84</f>
        <v>-1.4316338082025604</v>
      </c>
      <c r="P70" s="36">
        <f>L85</f>
        <v>65535</v>
      </c>
      <c r="Q70" s="375">
        <f>L86</f>
        <v>-0.99678740439132663</v>
      </c>
      <c r="R70" s="376">
        <f>L87</f>
        <v>-0.83084938385857343</v>
      </c>
      <c r="S70" s="379" t="s">
        <v>239</v>
      </c>
    </row>
    <row r="71" spans="1:19" ht="16.5" thickBot="1" x14ac:dyDescent="0.3">
      <c r="A71" s="10" t="s">
        <v>206</v>
      </c>
      <c r="B71" s="254">
        <v>99</v>
      </c>
      <c r="C71" s="257">
        <f>IF('Questão 4 - Variáveis Binárias'!R16&lt;20,'Questão 4 - Variáveis Binárias'!R16,20)</f>
        <v>20</v>
      </c>
      <c r="D71" s="253">
        <v>0</v>
      </c>
      <c r="E71" s="253">
        <v>0</v>
      </c>
      <c r="F71" s="253">
        <v>1</v>
      </c>
      <c r="G71" s="253">
        <v>1</v>
      </c>
      <c r="I71" s="12" t="s">
        <v>41</v>
      </c>
      <c r="J71" s="369">
        <v>0.23474830058682986</v>
      </c>
      <c r="M71" s="27" t="s">
        <v>90</v>
      </c>
      <c r="N71" s="354">
        <f>_xlfn.T.INV(5%,J79)</f>
        <v>-1.7958848187040437</v>
      </c>
      <c r="O71" s="354"/>
      <c r="P71" s="354"/>
      <c r="Q71" s="354"/>
      <c r="R71" s="355"/>
    </row>
    <row r="72" spans="1:19" ht="15.75" x14ac:dyDescent="0.25">
      <c r="A72" s="10" t="s">
        <v>205</v>
      </c>
      <c r="B72" s="254">
        <v>93</v>
      </c>
      <c r="C72" s="257">
        <f>IF('Questão 4 - Variáveis Binárias'!R17&lt;20,'Questão 4 - Variáveis Binárias'!R17,20)</f>
        <v>7</v>
      </c>
      <c r="D72" s="253">
        <v>0</v>
      </c>
      <c r="E72" s="253">
        <v>1</v>
      </c>
      <c r="F72" s="253">
        <v>0</v>
      </c>
      <c r="G72" s="253">
        <v>0</v>
      </c>
      <c r="I72" s="12" t="s">
        <v>42</v>
      </c>
      <c r="J72" s="369">
        <v>-6.4865799253125633E-2</v>
      </c>
    </row>
    <row r="73" spans="1:19" ht="15.75" x14ac:dyDescent="0.25">
      <c r="A73" s="10" t="s">
        <v>204</v>
      </c>
      <c r="B73" s="254">
        <v>46</v>
      </c>
      <c r="C73" s="257">
        <f>IF('Questão 4 - Variáveis Binárias'!R18&lt;20,'Questão 4 - Variáveis Binárias'!R18,20)</f>
        <v>20</v>
      </c>
      <c r="D73" s="253">
        <v>1</v>
      </c>
      <c r="E73" s="253">
        <v>0</v>
      </c>
      <c r="F73" s="253">
        <v>0</v>
      </c>
      <c r="G73" s="253">
        <v>1</v>
      </c>
      <c r="I73" s="12" t="s">
        <v>43</v>
      </c>
      <c r="J73" s="12">
        <v>28.552225696405547</v>
      </c>
    </row>
    <row r="74" spans="1:19" ht="16.5" thickBot="1" x14ac:dyDescent="0.3">
      <c r="A74" s="10" t="s">
        <v>203</v>
      </c>
      <c r="B74" s="254">
        <v>73</v>
      </c>
      <c r="C74" s="257">
        <f>IF('Questão 4 - Variáveis Binárias'!R19&lt;20,'Questão 4 - Variáveis Binárias'!R19,20)</f>
        <v>20</v>
      </c>
      <c r="D74" s="253">
        <v>0</v>
      </c>
      <c r="E74" s="253">
        <v>0</v>
      </c>
      <c r="F74" s="253">
        <v>1</v>
      </c>
      <c r="G74" s="253">
        <v>0</v>
      </c>
      <c r="I74" s="13" t="s">
        <v>44</v>
      </c>
      <c r="J74" s="13">
        <v>15</v>
      </c>
    </row>
    <row r="75" spans="1:19" ht="15.75" x14ac:dyDescent="0.25">
      <c r="A75" s="10" t="s">
        <v>202</v>
      </c>
      <c r="B75" s="254">
        <v>52</v>
      </c>
      <c r="C75" s="257">
        <f>IF('Questão 4 - Variáveis Binárias'!R20&lt;20,'Questão 4 - Variáveis Binárias'!R20,20)</f>
        <v>10</v>
      </c>
      <c r="D75" s="253">
        <v>0</v>
      </c>
      <c r="E75" s="253">
        <v>1</v>
      </c>
      <c r="F75" s="253">
        <v>0</v>
      </c>
      <c r="G75" s="253">
        <v>1</v>
      </c>
    </row>
    <row r="76" spans="1:19" ht="16.5" thickBot="1" x14ac:dyDescent="0.3">
      <c r="A76" s="10" t="s">
        <v>201</v>
      </c>
      <c r="B76" s="254">
        <v>108</v>
      </c>
      <c r="C76" s="257">
        <f>IF('Questão 4 - Variáveis Binárias'!R21&lt;20,'Questão 4 - Variáveis Binárias'!R21,20)</f>
        <v>16</v>
      </c>
      <c r="D76" s="253">
        <v>1</v>
      </c>
      <c r="E76" s="253">
        <v>0</v>
      </c>
      <c r="F76" s="253">
        <v>0</v>
      </c>
      <c r="G76" s="253">
        <v>0</v>
      </c>
      <c r="I76" t="s">
        <v>45</v>
      </c>
    </row>
    <row r="77" spans="1:19" ht="15.75" x14ac:dyDescent="0.25">
      <c r="A77" s="10" t="s">
        <v>200</v>
      </c>
      <c r="B77" s="254">
        <v>75</v>
      </c>
      <c r="C77" s="257">
        <f>IF('Questão 4 - Variáveis Binárias'!R22&lt;20,'Questão 4 - Variáveis Binárias'!R22,20)</f>
        <v>20</v>
      </c>
      <c r="D77" s="253">
        <v>0</v>
      </c>
      <c r="E77" s="253">
        <v>0</v>
      </c>
      <c r="F77" s="253">
        <v>1</v>
      </c>
      <c r="G77" s="253">
        <v>1</v>
      </c>
      <c r="I77" s="14"/>
      <c r="J77" s="14" t="s">
        <v>50</v>
      </c>
      <c r="K77" s="14" t="s">
        <v>51</v>
      </c>
      <c r="L77" s="14" t="s">
        <v>52</v>
      </c>
      <c r="M77" s="14" t="s">
        <v>53</v>
      </c>
      <c r="N77" s="14" t="s">
        <v>54</v>
      </c>
    </row>
    <row r="78" spans="1:19" ht="15.75" x14ac:dyDescent="0.25">
      <c r="A78" s="10" t="s">
        <v>199</v>
      </c>
      <c r="B78" s="254">
        <v>68</v>
      </c>
      <c r="C78" s="257">
        <f>IF('Questão 4 - Variáveis Binárias'!R23&lt;20,'Questão 4 - Variáveis Binárias'!R23,20)</f>
        <v>18</v>
      </c>
      <c r="D78" s="253">
        <v>0</v>
      </c>
      <c r="E78" s="253">
        <v>0</v>
      </c>
      <c r="F78" s="253">
        <v>1</v>
      </c>
      <c r="G78" s="253">
        <v>0</v>
      </c>
      <c r="I78" s="12" t="s">
        <v>46</v>
      </c>
      <c r="J78" s="12">
        <v>4</v>
      </c>
      <c r="K78" s="12">
        <v>2750.874485596707</v>
      </c>
      <c r="L78" s="12">
        <v>687.71862139917675</v>
      </c>
      <c r="M78" s="12">
        <v>1.1247851778420535</v>
      </c>
      <c r="N78" s="12">
        <v>0.39818749386583696</v>
      </c>
      <c r="O78" s="378" t="s">
        <v>237</v>
      </c>
    </row>
    <row r="79" spans="1:19" ht="15.75" x14ac:dyDescent="0.25">
      <c r="A79" s="10" t="s">
        <v>198</v>
      </c>
      <c r="B79" s="254">
        <v>121</v>
      </c>
      <c r="C79" s="257">
        <f>IF('Questão 4 - Variáveis Binárias'!R24&lt;20,'Questão 4 - Variáveis Binárias'!R24,20)</f>
        <v>5</v>
      </c>
      <c r="D79" s="253">
        <v>0</v>
      </c>
      <c r="E79" s="253">
        <v>0</v>
      </c>
      <c r="F79" s="253">
        <v>1</v>
      </c>
      <c r="G79" s="253">
        <v>1</v>
      </c>
      <c r="I79" s="12" t="s">
        <v>47</v>
      </c>
      <c r="J79" s="12">
        <v>11</v>
      </c>
      <c r="K79" s="12">
        <v>8967.5255144032926</v>
      </c>
      <c r="L79" s="12">
        <v>815.22959221848112</v>
      </c>
      <c r="M79" s="12"/>
      <c r="N79" s="12"/>
    </row>
    <row r="80" spans="1:19" ht="16.5" thickBot="1" x14ac:dyDescent="0.3">
      <c r="A80" s="10" t="s">
        <v>196</v>
      </c>
      <c r="B80" s="254">
        <v>153</v>
      </c>
      <c r="C80" s="257">
        <f>IF('Questão 4 - Variáveis Binárias'!R25&lt;20,'Questão 4 - Variáveis Binárias'!R25,20)</f>
        <v>9</v>
      </c>
      <c r="D80" s="253">
        <v>1</v>
      </c>
      <c r="E80" s="253">
        <v>0</v>
      </c>
      <c r="F80" s="253">
        <v>0</v>
      </c>
      <c r="G80" s="253">
        <v>0</v>
      </c>
      <c r="I80" s="13" t="s">
        <v>48</v>
      </c>
      <c r="J80" s="13">
        <v>15</v>
      </c>
      <c r="K80" s="13">
        <v>11718.4</v>
      </c>
      <c r="L80" s="13"/>
      <c r="M80" s="13"/>
      <c r="N80" s="13"/>
    </row>
    <row r="81" spans="1:20" ht="16.5" thickBot="1" x14ac:dyDescent="0.3">
      <c r="A81" s="10" t="s">
        <v>194</v>
      </c>
      <c r="B81" s="254">
        <v>121</v>
      </c>
      <c r="C81" s="257">
        <f>IF('Questão 4 - Variáveis Binárias'!R26&lt;20,'Questão 4 - Variáveis Binárias'!R26,20)</f>
        <v>19</v>
      </c>
      <c r="D81" s="253">
        <v>0</v>
      </c>
      <c r="E81" s="253">
        <v>1</v>
      </c>
      <c r="F81" s="253">
        <v>0</v>
      </c>
      <c r="G81" s="253">
        <v>1</v>
      </c>
    </row>
    <row r="82" spans="1:20" ht="15.75" x14ac:dyDescent="0.25">
      <c r="A82" s="10" t="s">
        <v>193</v>
      </c>
      <c r="B82" s="254">
        <v>72</v>
      </c>
      <c r="C82" s="257">
        <f>IF('Questão 4 - Variáveis Binárias'!R27&lt;20,'Questão 4 - Variáveis Binárias'!R27,20)</f>
        <v>20</v>
      </c>
      <c r="D82" s="253">
        <v>0</v>
      </c>
      <c r="E82" s="253">
        <v>1</v>
      </c>
      <c r="F82" s="253">
        <v>0</v>
      </c>
      <c r="G82" s="253">
        <v>1</v>
      </c>
      <c r="I82" s="14"/>
      <c r="J82" s="14" t="s">
        <v>55</v>
      </c>
      <c r="K82" s="14" t="s">
        <v>43</v>
      </c>
      <c r="L82" s="14" t="s">
        <v>56</v>
      </c>
      <c r="M82" s="14" t="s">
        <v>57</v>
      </c>
      <c r="N82" s="14" t="s">
        <v>58</v>
      </c>
      <c r="O82" s="14" t="s">
        <v>59</v>
      </c>
      <c r="P82" s="14" t="s">
        <v>60</v>
      </c>
      <c r="Q82" s="14" t="s">
        <v>61</v>
      </c>
    </row>
    <row r="83" spans="1:20" x14ac:dyDescent="0.25">
      <c r="I83" s="12" t="s">
        <v>49</v>
      </c>
      <c r="J83" s="12">
        <v>136.71028806584366</v>
      </c>
      <c r="K83" s="12">
        <v>25.445763454261577</v>
      </c>
      <c r="L83" s="12">
        <v>5.3726149074512382</v>
      </c>
      <c r="M83" s="12">
        <v>2.2588190356802204E-4</v>
      </c>
      <c r="N83" s="12">
        <v>80.704540315811784</v>
      </c>
      <c r="O83" s="12">
        <v>192.71603581587553</v>
      </c>
      <c r="P83" s="12">
        <v>80.704540315811784</v>
      </c>
      <c r="Q83" s="12">
        <v>192.71603581587553</v>
      </c>
    </row>
    <row r="84" spans="1:20" x14ac:dyDescent="0.25">
      <c r="I84" s="12" t="s">
        <v>234</v>
      </c>
      <c r="J84" s="12">
        <v>-2.0730452674897126</v>
      </c>
      <c r="K84" s="12">
        <v>1.4480276000833305</v>
      </c>
      <c r="L84" s="12">
        <v>-1.4316338082025604</v>
      </c>
      <c r="M84" s="12">
        <v>0.18004319429979776</v>
      </c>
      <c r="N84" s="12">
        <v>-5.2601325266762329</v>
      </c>
      <c r="O84" s="12">
        <v>1.1140419916968076</v>
      </c>
      <c r="P84" s="12">
        <v>-5.2601325266762329</v>
      </c>
      <c r="Q84" s="12">
        <v>1.1140419916968076</v>
      </c>
    </row>
    <row r="85" spans="1:20" x14ac:dyDescent="0.25">
      <c r="I85" s="12" t="s">
        <v>223</v>
      </c>
      <c r="J85" s="12">
        <v>0</v>
      </c>
      <c r="K85" s="12">
        <v>0</v>
      </c>
      <c r="L85" s="12">
        <v>65535</v>
      </c>
      <c r="M85" s="12" t="e">
        <v>#NUM!</v>
      </c>
      <c r="N85" s="12">
        <v>0</v>
      </c>
      <c r="O85" s="12">
        <v>0</v>
      </c>
      <c r="P85" s="12">
        <v>0</v>
      </c>
      <c r="Q85" s="12">
        <v>0</v>
      </c>
    </row>
    <row r="86" spans="1:20" x14ac:dyDescent="0.25">
      <c r="I86" s="12" t="s">
        <v>224</v>
      </c>
      <c r="J86" s="12">
        <v>-18.000000000000007</v>
      </c>
      <c r="K86" s="12">
        <v>18.058013093565762</v>
      </c>
      <c r="L86" s="12">
        <v>-0.99678740439132663</v>
      </c>
      <c r="M86" s="12" t="e">
        <v>#NUM!</v>
      </c>
      <c r="N86" s="12">
        <v>-57.745418839678749</v>
      </c>
      <c r="O86" s="12">
        <v>21.745418839678734</v>
      </c>
      <c r="P86" s="12">
        <v>-57.745418839678749</v>
      </c>
      <c r="Q86" s="12">
        <v>21.745418839678734</v>
      </c>
    </row>
    <row r="87" spans="1:20" ht="15.75" thickBot="1" x14ac:dyDescent="0.3">
      <c r="I87" s="13" t="s">
        <v>225</v>
      </c>
      <c r="J87" s="13">
        <v>-15.097736625514408</v>
      </c>
      <c r="K87" s="13">
        <v>18.171448301975673</v>
      </c>
      <c r="L87" s="13">
        <v>-0.83084938385857343</v>
      </c>
      <c r="M87" s="13">
        <v>0.42372600545596362</v>
      </c>
      <c r="N87" s="13">
        <v>-55.092824675535262</v>
      </c>
      <c r="O87" s="13">
        <v>24.897351424506446</v>
      </c>
      <c r="P87" s="13">
        <v>-55.092824675535262</v>
      </c>
      <c r="Q87" s="13">
        <v>24.897351424506446</v>
      </c>
    </row>
    <row r="89" spans="1:20" ht="15.75" x14ac:dyDescent="0.25">
      <c r="A89" s="372" t="s">
        <v>235</v>
      </c>
    </row>
    <row r="90" spans="1:20" x14ac:dyDescent="0.25">
      <c r="A90" s="377" t="s">
        <v>242</v>
      </c>
      <c r="B90" s="377"/>
      <c r="C90" s="377"/>
      <c r="D90" s="377"/>
      <c r="E90" s="377"/>
      <c r="F90" s="377"/>
      <c r="G90" s="377"/>
      <c r="H90" s="377"/>
      <c r="I90" t="s">
        <v>38</v>
      </c>
    </row>
    <row r="91" spans="1:20" ht="15.75" thickBot="1" x14ac:dyDescent="0.3">
      <c r="A91" s="377"/>
      <c r="B91" s="377"/>
      <c r="C91" s="377"/>
      <c r="D91" s="377"/>
      <c r="E91" s="377"/>
      <c r="F91" s="377"/>
      <c r="G91" s="377"/>
      <c r="H91" s="377"/>
    </row>
    <row r="92" spans="1:20" x14ac:dyDescent="0.25">
      <c r="I92" s="15" t="s">
        <v>39</v>
      </c>
      <c r="J92" s="15"/>
      <c r="M92" s="255"/>
      <c r="N92" s="256" t="s">
        <v>37</v>
      </c>
      <c r="O92" s="256" t="s">
        <v>87</v>
      </c>
      <c r="P92" s="256" t="s">
        <v>88</v>
      </c>
      <c r="Q92" s="256" t="s">
        <v>130</v>
      </c>
      <c r="R92" s="256" t="s">
        <v>131</v>
      </c>
      <c r="S92" s="56" t="s">
        <v>132</v>
      </c>
    </row>
    <row r="93" spans="1:20" ht="15.75" x14ac:dyDescent="0.25">
      <c r="A93" s="372" t="s">
        <v>236</v>
      </c>
      <c r="I93" s="12" t="s">
        <v>40</v>
      </c>
      <c r="J93" s="12">
        <v>0.49160293697409119</v>
      </c>
      <c r="M93" s="24" t="s">
        <v>89</v>
      </c>
      <c r="N93" s="57">
        <f>L106</f>
        <v>5.1029513316260777</v>
      </c>
      <c r="O93" s="57">
        <f>L107</f>
        <v>-1.2531027661421972</v>
      </c>
      <c r="P93" s="57">
        <f>L108</f>
        <v>65535</v>
      </c>
      <c r="Q93" s="57">
        <f>L109</f>
        <v>-0.67131336004766518</v>
      </c>
      <c r="R93" s="57">
        <f>L110</f>
        <v>-0.64681035389382557</v>
      </c>
      <c r="S93" s="58">
        <f>L111</f>
        <v>-0.30219436972433955</v>
      </c>
      <c r="T93" s="379" t="s">
        <v>240</v>
      </c>
    </row>
    <row r="94" spans="1:20" ht="15.75" thickBot="1" x14ac:dyDescent="0.3">
      <c r="A94" t="s">
        <v>241</v>
      </c>
      <c r="I94" s="12" t="s">
        <v>41</v>
      </c>
      <c r="J94" s="369">
        <v>0.2416734476415523</v>
      </c>
      <c r="M94" s="27" t="s">
        <v>90</v>
      </c>
      <c r="N94" s="354">
        <f>_xlfn.T.INV(5%,J102)</f>
        <v>-1.812461122811676</v>
      </c>
      <c r="O94" s="354"/>
      <c r="P94" s="354"/>
      <c r="Q94" s="354"/>
      <c r="R94" s="354"/>
      <c r="S94" s="355"/>
    </row>
    <row r="95" spans="1:20" x14ac:dyDescent="0.25">
      <c r="A95" t="s">
        <v>243</v>
      </c>
      <c r="I95" s="12" t="s">
        <v>42</v>
      </c>
      <c r="J95" s="369">
        <v>-0.16165717330182677</v>
      </c>
    </row>
    <row r="96" spans="1:20" x14ac:dyDescent="0.25">
      <c r="A96" t="s">
        <v>244</v>
      </c>
      <c r="I96" s="12" t="s">
        <v>43</v>
      </c>
      <c r="J96" s="12">
        <v>29.810021588649064</v>
      </c>
    </row>
    <row r="97" spans="1:17" ht="15.75" thickBot="1" x14ac:dyDescent="0.3">
      <c r="A97" t="s">
        <v>245</v>
      </c>
      <c r="I97" s="13" t="s">
        <v>44</v>
      </c>
      <c r="J97" s="13">
        <v>15</v>
      </c>
    </row>
    <row r="98" spans="1:17" x14ac:dyDescent="0.25">
      <c r="A98" t="s">
        <v>246</v>
      </c>
    </row>
    <row r="99" spans="1:17" ht="15.75" thickBot="1" x14ac:dyDescent="0.3">
      <c r="A99" t="s">
        <v>247</v>
      </c>
      <c r="I99" t="s">
        <v>45</v>
      </c>
    </row>
    <row r="100" spans="1:17" x14ac:dyDescent="0.25">
      <c r="I100" s="14"/>
      <c r="J100" s="14" t="s">
        <v>50</v>
      </c>
      <c r="K100" s="14" t="s">
        <v>51</v>
      </c>
      <c r="L100" s="14" t="s">
        <v>52</v>
      </c>
      <c r="M100" s="14" t="s">
        <v>53</v>
      </c>
      <c r="N100" s="14" t="s">
        <v>54</v>
      </c>
    </row>
    <row r="101" spans="1:17" x14ac:dyDescent="0.25">
      <c r="I101" s="12" t="s">
        <v>46</v>
      </c>
      <c r="J101" s="12">
        <v>5</v>
      </c>
      <c r="K101" s="12">
        <v>2832.0261288427664</v>
      </c>
      <c r="L101" s="12">
        <v>566.40522576855324</v>
      </c>
      <c r="M101" s="12">
        <v>0.79673277590614255</v>
      </c>
      <c r="N101" s="12">
        <v>0.57848618906577087</v>
      </c>
      <c r="O101" s="378" t="s">
        <v>237</v>
      </c>
    </row>
    <row r="102" spans="1:17" x14ac:dyDescent="0.25">
      <c r="I102" s="12" t="s">
        <v>47</v>
      </c>
      <c r="J102" s="12">
        <v>10</v>
      </c>
      <c r="K102" s="12">
        <v>8886.3738711572332</v>
      </c>
      <c r="L102" s="12">
        <v>888.6373871157233</v>
      </c>
      <c r="M102" s="12"/>
      <c r="N102" s="12"/>
    </row>
    <row r="103" spans="1:17" ht="15.75" thickBot="1" x14ac:dyDescent="0.3">
      <c r="I103" s="13" t="s">
        <v>48</v>
      </c>
      <c r="J103" s="13">
        <v>15</v>
      </c>
      <c r="K103" s="13">
        <v>11718.4</v>
      </c>
      <c r="L103" s="13"/>
      <c r="M103" s="13"/>
      <c r="N103" s="13"/>
    </row>
    <row r="104" spans="1:17" ht="15.75" thickBot="1" x14ac:dyDescent="0.3"/>
    <row r="105" spans="1:17" x14ac:dyDescent="0.25">
      <c r="I105" s="14"/>
      <c r="J105" s="14" t="s">
        <v>55</v>
      </c>
      <c r="K105" s="14" t="s">
        <v>43</v>
      </c>
      <c r="L105" s="14" t="s">
        <v>56</v>
      </c>
      <c r="M105" s="14" t="s">
        <v>57</v>
      </c>
      <c r="N105" s="14" t="s">
        <v>58</v>
      </c>
      <c r="O105" s="14" t="s">
        <v>59</v>
      </c>
      <c r="P105" s="14" t="s">
        <v>60</v>
      </c>
      <c r="Q105" s="14" t="s">
        <v>61</v>
      </c>
    </row>
    <row r="106" spans="1:17" x14ac:dyDescent="0.25">
      <c r="I106" s="12" t="s">
        <v>49</v>
      </c>
      <c r="J106" s="12">
        <v>136.04013315057767</v>
      </c>
      <c r="K106" s="12">
        <v>26.659108486387993</v>
      </c>
      <c r="L106" s="12">
        <v>5.1029513316260777</v>
      </c>
      <c r="M106" s="12">
        <v>4.6203255593997534E-4</v>
      </c>
      <c r="N106" s="12">
        <v>76.639937772739586</v>
      </c>
      <c r="O106" s="12">
        <v>195.44032852841576</v>
      </c>
      <c r="P106" s="12">
        <v>76.639937772739586</v>
      </c>
      <c r="Q106" s="12">
        <v>195.44032852841576</v>
      </c>
    </row>
    <row r="107" spans="1:17" x14ac:dyDescent="0.25">
      <c r="I107" s="12" t="s">
        <v>234</v>
      </c>
      <c r="J107" s="12">
        <v>-1.9558253377716861</v>
      </c>
      <c r="K107" s="12">
        <v>1.5607860668865101</v>
      </c>
      <c r="L107" s="12">
        <v>-1.2531027661421972</v>
      </c>
      <c r="M107" s="12">
        <v>0.2386760253274417</v>
      </c>
      <c r="N107" s="12">
        <v>-5.4334734130403675</v>
      </c>
      <c r="O107" s="12">
        <v>1.5218227374969948</v>
      </c>
      <c r="P107" s="12">
        <v>-5.4334734130403675</v>
      </c>
      <c r="Q107" s="12">
        <v>1.5218227374969948</v>
      </c>
    </row>
    <row r="108" spans="1:17" x14ac:dyDescent="0.25">
      <c r="I108" s="12" t="s">
        <v>223</v>
      </c>
      <c r="J108" s="12">
        <v>0</v>
      </c>
      <c r="K108" s="12">
        <v>0</v>
      </c>
      <c r="L108" s="12">
        <v>65535</v>
      </c>
      <c r="M108" s="12" t="e">
        <v>#NUM!</v>
      </c>
      <c r="N108" s="12">
        <v>0</v>
      </c>
      <c r="O108" s="12">
        <v>0</v>
      </c>
      <c r="P108" s="12">
        <v>0</v>
      </c>
      <c r="Q108" s="12">
        <v>0</v>
      </c>
    </row>
    <row r="109" spans="1:17" x14ac:dyDescent="0.25">
      <c r="I109" s="12" t="s">
        <v>224</v>
      </c>
      <c r="J109" s="12">
        <v>-14.665235950655958</v>
      </c>
      <c r="K109" s="12">
        <v>21.84558929322468</v>
      </c>
      <c r="L109" s="12">
        <v>-0.67131336004766518</v>
      </c>
      <c r="M109" s="12" t="e">
        <v>#NUM!</v>
      </c>
      <c r="N109" s="12">
        <v>-63.340242199425248</v>
      </c>
      <c r="O109" s="12">
        <v>34.009770298113324</v>
      </c>
      <c r="P109" s="12">
        <v>-63.340242199425248</v>
      </c>
      <c r="Q109" s="12">
        <v>34.009770298113324</v>
      </c>
    </row>
    <row r="110" spans="1:17" x14ac:dyDescent="0.25">
      <c r="I110" s="12" t="s">
        <v>225</v>
      </c>
      <c r="J110" s="12">
        <v>-13.038668494223618</v>
      </c>
      <c r="K110" s="12">
        <v>20.158410290945845</v>
      </c>
      <c r="L110" s="12">
        <v>-0.64681035389382557</v>
      </c>
      <c r="M110" s="12">
        <v>0.53231933125017783</v>
      </c>
      <c r="N110" s="12">
        <v>-57.954405657759992</v>
      </c>
      <c r="O110" s="12">
        <v>31.877068669312759</v>
      </c>
      <c r="P110" s="12">
        <v>-57.954405657759992</v>
      </c>
      <c r="Q110" s="12">
        <v>31.877068669312759</v>
      </c>
    </row>
    <row r="111" spans="1:17" ht="15.75" thickBot="1" x14ac:dyDescent="0.3">
      <c r="I111" s="13" t="s">
        <v>229</v>
      </c>
      <c r="J111" s="13">
        <v>-5.5579400822400666</v>
      </c>
      <c r="K111" s="13">
        <v>18.391937901788165</v>
      </c>
      <c r="L111" s="13">
        <v>-0.30219436972433955</v>
      </c>
      <c r="M111" s="13">
        <v>0.76869560980862017</v>
      </c>
      <c r="N111" s="13">
        <v>-46.537731484533197</v>
      </c>
      <c r="O111" s="13">
        <v>35.421851320053065</v>
      </c>
      <c r="P111" s="13">
        <v>-46.537731484533197</v>
      </c>
      <c r="Q111" s="13">
        <v>35.421851320053065</v>
      </c>
    </row>
  </sheetData>
  <mergeCells count="8">
    <mergeCell ref="N47:S47"/>
    <mergeCell ref="N71:R71"/>
    <mergeCell ref="A90:H91"/>
    <mergeCell ref="N94:S94"/>
    <mergeCell ref="H10:M10"/>
    <mergeCell ref="H29:M29"/>
    <mergeCell ref="M5:O5"/>
    <mergeCell ref="M25:Q25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Questão 1 - Multicolinearidade</vt:lpstr>
      <vt:lpstr>Questão 2 - Heterocedasticidade</vt:lpstr>
      <vt:lpstr>RESOLUÇÃO QUESTÃO 1</vt:lpstr>
      <vt:lpstr>RESOLUÇÃO QUESTÃO 2</vt:lpstr>
      <vt:lpstr>Questão 3 - Autocorrelação</vt:lpstr>
      <vt:lpstr>RESOLUÇÃO QUESTÃO 3</vt:lpstr>
      <vt:lpstr>Questão 4 - Variáveis Binárias</vt:lpstr>
      <vt:lpstr>RESOLUÇÃO QUESTÃO 4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Pier F.</dc:creator>
  <cp:lastModifiedBy>gioam</cp:lastModifiedBy>
  <dcterms:created xsi:type="dcterms:W3CDTF">2015-06-05T18:19:34Z</dcterms:created>
  <dcterms:modified xsi:type="dcterms:W3CDTF">2021-06-12T02:47:47Z</dcterms:modified>
</cp:coreProperties>
</file>