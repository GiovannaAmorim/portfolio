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ioam\Downloads\"/>
    </mc:Choice>
  </mc:AlternateContent>
  <bookViews>
    <workbookView xWindow="0" yWindow="0" windowWidth="20490" windowHeight="7755" firstSheet="2" activeTab="2"/>
  </bookViews>
  <sheets>
    <sheet name="Estatistica descritiva" sheetId="1" r:id="rId1"/>
    <sheet name="Boxplot" sheetId="2" r:id="rId2"/>
    <sheet name="Modelo econométrico" sheetId="3" r:id="rId3"/>
  </sheets>
  <externalReferences>
    <externalReference r:id="rId4"/>
  </externalReferences>
  <definedNames>
    <definedName name="_xlnm._FilterDatabase" localSheetId="0" hidden="1">'Estatistica descritiva'!$A$1:$C$97</definedName>
    <definedName name="_xlchart.v1.0" hidden="1">'Estatistica descritiva'!$B$1</definedName>
    <definedName name="_xlchart.v1.1" hidden="1">'Estatistica descritiva'!$B$2:$B$97</definedName>
    <definedName name="_xlchart.v1.2" hidden="1">'[1]Exercício 1 - Gini'!$C$4:$C$110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4" i="3" l="1"/>
  <c r="O12" i="3"/>
  <c r="L2" i="3"/>
  <c r="J2" i="3"/>
  <c r="I2" i="3"/>
  <c r="E2" i="3"/>
  <c r="R27" i="3" l="1"/>
  <c r="Q24" i="3"/>
  <c r="P24" i="3"/>
  <c r="P25" i="3"/>
  <c r="O25" i="3"/>
  <c r="Q14" i="3"/>
  <c r="O19" i="3"/>
  <c r="O18" i="3"/>
  <c r="O17" i="3"/>
  <c r="K4" i="3"/>
  <c r="K9" i="3"/>
  <c r="K10" i="3"/>
  <c r="K11" i="3"/>
  <c r="K17" i="3"/>
  <c r="K18" i="3"/>
  <c r="K33" i="3"/>
  <c r="K34" i="3"/>
  <c r="K35" i="3"/>
  <c r="K41" i="3"/>
  <c r="K50" i="3"/>
  <c r="K57" i="3"/>
  <c r="K58" i="3"/>
  <c r="K68" i="3"/>
  <c r="K73" i="3"/>
  <c r="K74" i="3"/>
  <c r="K84" i="3"/>
  <c r="K89" i="3"/>
  <c r="K90" i="3"/>
  <c r="K92" i="3"/>
  <c r="E3" i="3"/>
  <c r="E9" i="3"/>
  <c r="H9" i="3" s="1"/>
  <c r="E10" i="3"/>
  <c r="E11" i="3"/>
  <c r="E17" i="3"/>
  <c r="H17" i="3" s="1"/>
  <c r="E18" i="3"/>
  <c r="F18" i="3" s="1"/>
  <c r="E19" i="3"/>
  <c r="H19" i="3" s="1"/>
  <c r="E25" i="3"/>
  <c r="E26" i="3"/>
  <c r="H26" i="3" s="1"/>
  <c r="E27" i="3"/>
  <c r="E33" i="3"/>
  <c r="H33" i="3" s="1"/>
  <c r="E34" i="3"/>
  <c r="E35" i="3"/>
  <c r="H35" i="3" s="1"/>
  <c r="E41" i="3"/>
  <c r="H41" i="3" s="1"/>
  <c r="E42" i="3"/>
  <c r="H42" i="3" s="1"/>
  <c r="E43" i="3"/>
  <c r="H43" i="3" s="1"/>
  <c r="E49" i="3"/>
  <c r="H49" i="3" s="1"/>
  <c r="E50" i="3"/>
  <c r="H50" i="3" s="1"/>
  <c r="E51" i="3"/>
  <c r="H51" i="3" s="1"/>
  <c r="E57" i="3"/>
  <c r="H57" i="3" s="1"/>
  <c r="E58" i="3"/>
  <c r="H58" i="3" s="1"/>
  <c r="E59" i="3"/>
  <c r="H59" i="3" s="1"/>
  <c r="E65" i="3"/>
  <c r="H65" i="3" s="1"/>
  <c r="E66" i="3"/>
  <c r="H66" i="3" s="1"/>
  <c r="E67" i="3"/>
  <c r="H67" i="3" s="1"/>
  <c r="E73" i="3"/>
  <c r="H73" i="3" s="1"/>
  <c r="E74" i="3"/>
  <c r="H74" i="3" s="1"/>
  <c r="E75" i="3"/>
  <c r="H75" i="3" s="1"/>
  <c r="E81" i="3"/>
  <c r="H81" i="3" s="1"/>
  <c r="E82" i="3"/>
  <c r="H82" i="3" s="1"/>
  <c r="E83" i="3"/>
  <c r="H83" i="3" s="1"/>
  <c r="E89" i="3"/>
  <c r="H89" i="3" s="1"/>
  <c r="E90" i="3"/>
  <c r="H90" i="3" s="1"/>
  <c r="E91" i="3"/>
  <c r="H91" i="3" s="1"/>
  <c r="E97" i="3"/>
  <c r="H97" i="3" s="1"/>
  <c r="D3" i="3"/>
  <c r="D9" i="3"/>
  <c r="G9" i="3" s="1"/>
  <c r="D10" i="3"/>
  <c r="G10" i="3" s="1"/>
  <c r="D11" i="3"/>
  <c r="G11" i="3" s="1"/>
  <c r="D17" i="3"/>
  <c r="G17" i="3" s="1"/>
  <c r="D18" i="3"/>
  <c r="G18" i="3" s="1"/>
  <c r="D19" i="3"/>
  <c r="D25" i="3"/>
  <c r="G25" i="3" s="1"/>
  <c r="D26" i="3"/>
  <c r="G26" i="3" s="1"/>
  <c r="D27" i="3"/>
  <c r="D33" i="3"/>
  <c r="G33" i="3" s="1"/>
  <c r="D34" i="3"/>
  <c r="G34" i="3" s="1"/>
  <c r="D35" i="3"/>
  <c r="G35" i="3" s="1"/>
  <c r="D41" i="3"/>
  <c r="G41" i="3" s="1"/>
  <c r="D42" i="3"/>
  <c r="G42" i="3" s="1"/>
  <c r="D43" i="3"/>
  <c r="D49" i="3"/>
  <c r="G49" i="3" s="1"/>
  <c r="D50" i="3"/>
  <c r="G50" i="3" s="1"/>
  <c r="D51" i="3"/>
  <c r="D57" i="3"/>
  <c r="G57" i="3" s="1"/>
  <c r="D58" i="3"/>
  <c r="G58" i="3" s="1"/>
  <c r="D59" i="3"/>
  <c r="G59" i="3" s="1"/>
  <c r="D60" i="3"/>
  <c r="G60" i="3" s="1"/>
  <c r="D65" i="3"/>
  <c r="G65" i="3" s="1"/>
  <c r="D66" i="3"/>
  <c r="G66" i="3" s="1"/>
  <c r="D67" i="3"/>
  <c r="D68" i="3"/>
  <c r="G68" i="3" s="1"/>
  <c r="D73" i="3"/>
  <c r="G73" i="3" s="1"/>
  <c r="D74" i="3"/>
  <c r="G74" i="3" s="1"/>
  <c r="D75" i="3"/>
  <c r="G75" i="3" s="1"/>
  <c r="D76" i="3"/>
  <c r="G76" i="3" s="1"/>
  <c r="D81" i="3"/>
  <c r="G81" i="3" s="1"/>
  <c r="D82" i="3"/>
  <c r="G82" i="3" s="1"/>
  <c r="D83" i="3"/>
  <c r="D84" i="3"/>
  <c r="G84" i="3" s="1"/>
  <c r="D89" i="3"/>
  <c r="G89" i="3" s="1"/>
  <c r="D90" i="3"/>
  <c r="G90" i="3" s="1"/>
  <c r="D91" i="3"/>
  <c r="G91" i="3" s="1"/>
  <c r="D92" i="3"/>
  <c r="G92" i="3" s="1"/>
  <c r="D97" i="3"/>
  <c r="G97" i="3" s="1"/>
  <c r="D2" i="3"/>
  <c r="G2" i="3" s="1"/>
  <c r="O5" i="3"/>
  <c r="O4" i="3"/>
  <c r="O3" i="3"/>
  <c r="D4" i="3" s="1"/>
  <c r="G4" i="3" s="1"/>
  <c r="O2" i="3"/>
  <c r="E4" i="3" s="1"/>
  <c r="H4" i="3" s="1"/>
  <c r="C6" i="2"/>
  <c r="C7" i="2"/>
  <c r="C4" i="2"/>
  <c r="C8" i="2"/>
  <c r="C5" i="2"/>
  <c r="C3" i="2"/>
  <c r="H8" i="1"/>
  <c r="G8" i="1"/>
  <c r="G3" i="3" l="1"/>
  <c r="K3" i="3"/>
  <c r="K25" i="3"/>
  <c r="K82" i="3"/>
  <c r="K60" i="3"/>
  <c r="G43" i="3"/>
  <c r="K43" i="3"/>
  <c r="K49" i="3"/>
  <c r="K26" i="3"/>
  <c r="K65" i="3"/>
  <c r="G19" i="3"/>
  <c r="K19" i="3"/>
  <c r="K66" i="3"/>
  <c r="K42" i="3"/>
  <c r="K81" i="3"/>
  <c r="G51" i="3"/>
  <c r="K51" i="3"/>
  <c r="K2" i="3"/>
  <c r="K76" i="3"/>
  <c r="G83" i="3"/>
  <c r="K83" i="3"/>
  <c r="G67" i="3"/>
  <c r="K67" i="3"/>
  <c r="G27" i="3"/>
  <c r="K27" i="3"/>
  <c r="K97" i="3"/>
  <c r="F25" i="3"/>
  <c r="F49" i="3"/>
  <c r="F17" i="3"/>
  <c r="K91" i="3"/>
  <c r="K75" i="3"/>
  <c r="K59" i="3"/>
  <c r="F73" i="3"/>
  <c r="F27" i="3"/>
  <c r="F2" i="3"/>
  <c r="F34" i="3"/>
  <c r="F91" i="3"/>
  <c r="F89" i="3"/>
  <c r="D96" i="3"/>
  <c r="D88" i="3"/>
  <c r="D80" i="3"/>
  <c r="D72" i="3"/>
  <c r="D64" i="3"/>
  <c r="D56" i="3"/>
  <c r="D48" i="3"/>
  <c r="D40" i="3"/>
  <c r="K40" i="3" s="1"/>
  <c r="D32" i="3"/>
  <c r="D24" i="3"/>
  <c r="D16" i="3"/>
  <c r="D8" i="3"/>
  <c r="E96" i="3"/>
  <c r="H96" i="3" s="1"/>
  <c r="E88" i="3"/>
  <c r="H88" i="3" s="1"/>
  <c r="E80" i="3"/>
  <c r="E72" i="3"/>
  <c r="E64" i="3"/>
  <c r="E56" i="3"/>
  <c r="H56" i="3" s="1"/>
  <c r="E48" i="3"/>
  <c r="E40" i="3"/>
  <c r="H40" i="3" s="1"/>
  <c r="E32" i="3"/>
  <c r="H32" i="3" s="1"/>
  <c r="E24" i="3"/>
  <c r="H24" i="3" s="1"/>
  <c r="E16" i="3"/>
  <c r="E8" i="3"/>
  <c r="F9" i="3"/>
  <c r="H27" i="3"/>
  <c r="D95" i="3"/>
  <c r="D87" i="3"/>
  <c r="D79" i="3"/>
  <c r="D71" i="3"/>
  <c r="D63" i="3"/>
  <c r="D55" i="3"/>
  <c r="D47" i="3"/>
  <c r="D39" i="3"/>
  <c r="F39" i="3" s="1"/>
  <c r="D31" i="3"/>
  <c r="D23" i="3"/>
  <c r="D15" i="3"/>
  <c r="D7" i="3"/>
  <c r="E95" i="3"/>
  <c r="H95" i="3" s="1"/>
  <c r="E87" i="3"/>
  <c r="H87" i="3" s="1"/>
  <c r="E79" i="3"/>
  <c r="H79" i="3" s="1"/>
  <c r="E71" i="3"/>
  <c r="H71" i="3" s="1"/>
  <c r="E63" i="3"/>
  <c r="H63" i="3" s="1"/>
  <c r="E55" i="3"/>
  <c r="E47" i="3"/>
  <c r="H47" i="3" s="1"/>
  <c r="E39" i="3"/>
  <c r="H39" i="3" s="1"/>
  <c r="E31" i="3"/>
  <c r="H31" i="3" s="1"/>
  <c r="E23" i="3"/>
  <c r="H23" i="3" s="1"/>
  <c r="E15" i="3"/>
  <c r="H15" i="3" s="1"/>
  <c r="E7" i="3"/>
  <c r="F7" i="3" s="1"/>
  <c r="F82" i="3"/>
  <c r="H25" i="3"/>
  <c r="F3" i="3"/>
  <c r="D94" i="3"/>
  <c r="D86" i="3"/>
  <c r="K86" i="3" s="1"/>
  <c r="D78" i="3"/>
  <c r="D70" i="3"/>
  <c r="D62" i="3"/>
  <c r="D54" i="3"/>
  <c r="D46" i="3"/>
  <c r="D38" i="3"/>
  <c r="D30" i="3"/>
  <c r="D22" i="3"/>
  <c r="K22" i="3" s="1"/>
  <c r="D14" i="3"/>
  <c r="D6" i="3"/>
  <c r="E94" i="3"/>
  <c r="H94" i="3" s="1"/>
  <c r="E86" i="3"/>
  <c r="H86" i="3" s="1"/>
  <c r="E78" i="3"/>
  <c r="H78" i="3" s="1"/>
  <c r="E70" i="3"/>
  <c r="H70" i="3" s="1"/>
  <c r="E62" i="3"/>
  <c r="E54" i="3"/>
  <c r="E46" i="3"/>
  <c r="E38" i="3"/>
  <c r="H38" i="3" s="1"/>
  <c r="E30" i="3"/>
  <c r="H30" i="3" s="1"/>
  <c r="E22" i="3"/>
  <c r="H22" i="3" s="1"/>
  <c r="E14" i="3"/>
  <c r="H14" i="3" s="1"/>
  <c r="E6" i="3"/>
  <c r="F81" i="3"/>
  <c r="H18" i="3"/>
  <c r="F11" i="3"/>
  <c r="F10" i="3"/>
  <c r="D93" i="3"/>
  <c r="D85" i="3"/>
  <c r="D77" i="3"/>
  <c r="D69" i="3"/>
  <c r="D61" i="3"/>
  <c r="D53" i="3"/>
  <c r="D45" i="3"/>
  <c r="D37" i="3"/>
  <c r="D29" i="3"/>
  <c r="D21" i="3"/>
  <c r="D13" i="3"/>
  <c r="D5" i="3"/>
  <c r="E93" i="3"/>
  <c r="H93" i="3" s="1"/>
  <c r="E85" i="3"/>
  <c r="E77" i="3"/>
  <c r="E69" i="3"/>
  <c r="E61" i="3"/>
  <c r="H61" i="3" s="1"/>
  <c r="E53" i="3"/>
  <c r="E45" i="3"/>
  <c r="E37" i="3"/>
  <c r="E29" i="3"/>
  <c r="H29" i="3" s="1"/>
  <c r="E21" i="3"/>
  <c r="E13" i="3"/>
  <c r="E5" i="3"/>
  <c r="D52" i="3"/>
  <c r="D44" i="3"/>
  <c r="D36" i="3"/>
  <c r="D28" i="3"/>
  <c r="D20" i="3"/>
  <c r="D12" i="3"/>
  <c r="E92" i="3"/>
  <c r="H92" i="3" s="1"/>
  <c r="E84" i="3"/>
  <c r="H84" i="3" s="1"/>
  <c r="E76" i="3"/>
  <c r="H76" i="3" s="1"/>
  <c r="E68" i="3"/>
  <c r="H68" i="3" s="1"/>
  <c r="E60" i="3"/>
  <c r="H60" i="3" s="1"/>
  <c r="E52" i="3"/>
  <c r="H52" i="3" s="1"/>
  <c r="E44" i="3"/>
  <c r="H44" i="3" s="1"/>
  <c r="E36" i="3"/>
  <c r="H36" i="3" s="1"/>
  <c r="E28" i="3"/>
  <c r="H28" i="3" s="1"/>
  <c r="E20" i="3"/>
  <c r="H20" i="3" s="1"/>
  <c r="E12" i="3"/>
  <c r="H12" i="3" s="1"/>
  <c r="F90" i="3"/>
  <c r="F35" i="3"/>
  <c r="F26" i="3"/>
  <c r="F43" i="3"/>
  <c r="H2" i="3"/>
  <c r="H34" i="3"/>
  <c r="H6" i="3"/>
  <c r="F97" i="3"/>
  <c r="F51" i="3"/>
  <c r="F42" i="3"/>
  <c r="F33" i="3"/>
  <c r="H3" i="3"/>
  <c r="F59" i="3"/>
  <c r="F50" i="3"/>
  <c r="F41" i="3"/>
  <c r="F67" i="3"/>
  <c r="F58" i="3"/>
  <c r="H11" i="3"/>
  <c r="F75" i="3"/>
  <c r="F66" i="3"/>
  <c r="F57" i="3"/>
  <c r="H48" i="3"/>
  <c r="H10" i="3"/>
  <c r="F83" i="3"/>
  <c r="F74" i="3"/>
  <c r="F65" i="3"/>
  <c r="F19" i="3"/>
  <c r="F4" i="3"/>
  <c r="F9" i="2"/>
  <c r="F8" i="2"/>
  <c r="F7" i="2"/>
  <c r="F4" i="2"/>
  <c r="F5" i="2"/>
  <c r="F3" i="2"/>
  <c r="G24" i="3" l="1"/>
  <c r="K24" i="3"/>
  <c r="G6" i="3"/>
  <c r="K6" i="3"/>
  <c r="G78" i="3"/>
  <c r="K78" i="3"/>
  <c r="G53" i="3"/>
  <c r="K53" i="3"/>
  <c r="G63" i="3"/>
  <c r="K63" i="3"/>
  <c r="G48" i="3"/>
  <c r="K48" i="3"/>
  <c r="G47" i="3"/>
  <c r="K47" i="3"/>
  <c r="G96" i="3"/>
  <c r="K96" i="3"/>
  <c r="G30" i="3"/>
  <c r="K30" i="3"/>
  <c r="G94" i="3"/>
  <c r="K94" i="3"/>
  <c r="G7" i="3"/>
  <c r="K7" i="3"/>
  <c r="G71" i="3"/>
  <c r="K71" i="3"/>
  <c r="G56" i="3"/>
  <c r="K56" i="3"/>
  <c r="G93" i="3"/>
  <c r="K93" i="3"/>
  <c r="G62" i="3"/>
  <c r="K62" i="3"/>
  <c r="F47" i="3"/>
  <c r="G5" i="3"/>
  <c r="K5" i="3"/>
  <c r="G69" i="3"/>
  <c r="K69" i="3"/>
  <c r="G38" i="3"/>
  <c r="K38" i="3"/>
  <c r="G15" i="3"/>
  <c r="K15" i="3"/>
  <c r="G79" i="3"/>
  <c r="K79" i="3"/>
  <c r="G64" i="3"/>
  <c r="K64" i="3"/>
  <c r="G52" i="3"/>
  <c r="K52" i="3"/>
  <c r="G39" i="3"/>
  <c r="K39" i="3"/>
  <c r="G37" i="3"/>
  <c r="K37" i="3"/>
  <c r="G70" i="3"/>
  <c r="K70" i="3"/>
  <c r="G12" i="3"/>
  <c r="K12" i="3"/>
  <c r="G20" i="3"/>
  <c r="K20" i="3"/>
  <c r="G36" i="3"/>
  <c r="K36" i="3"/>
  <c r="G13" i="3"/>
  <c r="K13" i="3"/>
  <c r="G77" i="3"/>
  <c r="K77" i="3"/>
  <c r="G46" i="3"/>
  <c r="K46" i="3"/>
  <c r="G23" i="3"/>
  <c r="K23" i="3"/>
  <c r="G87" i="3"/>
  <c r="K87" i="3"/>
  <c r="G8" i="3"/>
  <c r="K8" i="3"/>
  <c r="G72" i="3"/>
  <c r="K72" i="3"/>
  <c r="G29" i="3"/>
  <c r="K29" i="3"/>
  <c r="G88" i="3"/>
  <c r="K88" i="3"/>
  <c r="G32" i="3"/>
  <c r="K32" i="3"/>
  <c r="G45" i="3"/>
  <c r="K45" i="3"/>
  <c r="G14" i="3"/>
  <c r="K14" i="3"/>
  <c r="G55" i="3"/>
  <c r="K55" i="3"/>
  <c r="G61" i="3"/>
  <c r="K61" i="3"/>
  <c r="G28" i="3"/>
  <c r="K28" i="3"/>
  <c r="G44" i="3"/>
  <c r="K44" i="3"/>
  <c r="G21" i="3"/>
  <c r="K21" i="3"/>
  <c r="G85" i="3"/>
  <c r="K85" i="3"/>
  <c r="G54" i="3"/>
  <c r="K54" i="3"/>
  <c r="G31" i="3"/>
  <c r="K31" i="3"/>
  <c r="G95" i="3"/>
  <c r="K95" i="3"/>
  <c r="G16" i="3"/>
  <c r="K16" i="3"/>
  <c r="G80" i="3"/>
  <c r="K80" i="3"/>
  <c r="F56" i="3"/>
  <c r="F52" i="3"/>
  <c r="F31" i="3"/>
  <c r="F63" i="3"/>
  <c r="F38" i="3"/>
  <c r="F30" i="3"/>
  <c r="F48" i="3"/>
  <c r="F95" i="3"/>
  <c r="F61" i="3"/>
  <c r="F20" i="3"/>
  <c r="F70" i="3"/>
  <c r="F77" i="3"/>
  <c r="H77" i="3"/>
  <c r="F46" i="3"/>
  <c r="H46" i="3"/>
  <c r="H72" i="3"/>
  <c r="F72" i="3"/>
  <c r="F40" i="3"/>
  <c r="G40" i="3"/>
  <c r="F60" i="3"/>
  <c r="H53" i="3"/>
  <c r="F53" i="3"/>
  <c r="F68" i="3"/>
  <c r="F12" i="3"/>
  <c r="F87" i="3"/>
  <c r="H5" i="3"/>
  <c r="F5" i="3"/>
  <c r="H69" i="3"/>
  <c r="F69" i="3"/>
  <c r="F84" i="3"/>
  <c r="F96" i="3"/>
  <c r="F71" i="3"/>
  <c r="H8" i="3"/>
  <c r="F8" i="3"/>
  <c r="F28" i="3"/>
  <c r="F92" i="3"/>
  <c r="F23" i="3"/>
  <c r="F79" i="3"/>
  <c r="H7" i="3"/>
  <c r="H21" i="3"/>
  <c r="F21" i="3"/>
  <c r="H85" i="3"/>
  <c r="F85" i="3"/>
  <c r="H54" i="3"/>
  <c r="F54" i="3"/>
  <c r="F22" i="3"/>
  <c r="G22" i="3"/>
  <c r="F86" i="3"/>
  <c r="G86" i="3"/>
  <c r="H16" i="3"/>
  <c r="F16" i="3"/>
  <c r="H80" i="3"/>
  <c r="F80" i="3"/>
  <c r="F45" i="3"/>
  <c r="H45" i="3"/>
  <c r="H55" i="3"/>
  <c r="F55" i="3"/>
  <c r="F78" i="3"/>
  <c r="H64" i="3"/>
  <c r="F64" i="3"/>
  <c r="F14" i="3"/>
  <c r="F36" i="3"/>
  <c r="F93" i="3"/>
  <c r="F88" i="3"/>
  <c r="H62" i="3"/>
  <c r="F62" i="3"/>
  <c r="F76" i="3"/>
  <c r="H13" i="3"/>
  <c r="F13" i="3"/>
  <c r="F94" i="3"/>
  <c r="F32" i="3"/>
  <c r="F15" i="3"/>
  <c r="F44" i="3"/>
  <c r="F29" i="3"/>
  <c r="F24" i="3"/>
  <c r="F37" i="3"/>
  <c r="H37" i="3"/>
  <c r="F6" i="3"/>
  <c r="F6" i="2"/>
  <c r="O10" i="3" l="1"/>
  <c r="N79" i="1"/>
  <c r="O9" i="3" l="1"/>
  <c r="I3" i="3"/>
  <c r="I9" i="3"/>
  <c r="I39" i="3"/>
  <c r="I58" i="3"/>
  <c r="I96" i="3"/>
  <c r="I37" i="3"/>
  <c r="I24" i="3"/>
  <c r="I65" i="3"/>
  <c r="I60" i="3"/>
  <c r="I71" i="3"/>
  <c r="I44" i="3"/>
  <c r="I14" i="3"/>
  <c r="I92" i="3"/>
  <c r="I77" i="3"/>
  <c r="I93" i="3"/>
  <c r="I53" i="3"/>
  <c r="I83" i="3"/>
  <c r="I46" i="3"/>
  <c r="I33" i="3"/>
  <c r="F5" i="1"/>
  <c r="G5" i="1"/>
  <c r="G3" i="1"/>
  <c r="F3" i="1"/>
  <c r="F4" i="1" s="1"/>
  <c r="F2" i="1"/>
  <c r="G2" i="1"/>
  <c r="J33" i="3" l="1"/>
  <c r="L33" i="3"/>
  <c r="J37" i="3"/>
  <c r="L37" i="3"/>
  <c r="J58" i="3"/>
  <c r="L58" i="3"/>
  <c r="J71" i="3"/>
  <c r="L71" i="3"/>
  <c r="J3" i="3"/>
  <c r="L3" i="3"/>
  <c r="J14" i="3"/>
  <c r="L14" i="3"/>
  <c r="J44" i="3"/>
  <c r="L44" i="3"/>
  <c r="J46" i="3"/>
  <c r="L46" i="3"/>
  <c r="J9" i="3"/>
  <c r="L9" i="3"/>
  <c r="J53" i="3"/>
  <c r="L53" i="3"/>
  <c r="J93" i="3"/>
  <c r="L93" i="3"/>
  <c r="J65" i="3"/>
  <c r="L65" i="3"/>
  <c r="J92" i="3"/>
  <c r="L92" i="3"/>
  <c r="J96" i="3"/>
  <c r="L96" i="3"/>
  <c r="J39" i="3"/>
  <c r="L39" i="3"/>
  <c r="J83" i="3"/>
  <c r="L83" i="3"/>
  <c r="J60" i="3"/>
  <c r="L60" i="3"/>
  <c r="J77" i="3"/>
  <c r="L77" i="3"/>
  <c r="J24" i="3"/>
  <c r="L24" i="3"/>
  <c r="I7" i="3"/>
  <c r="I20" i="3"/>
  <c r="I18" i="3"/>
  <c r="I79" i="3"/>
  <c r="I23" i="3"/>
  <c r="I51" i="3"/>
  <c r="I28" i="3"/>
  <c r="I59" i="3"/>
  <c r="I81" i="3"/>
  <c r="I86" i="3"/>
  <c r="I47" i="3"/>
  <c r="I54" i="3"/>
  <c r="I40" i="3"/>
  <c r="I15" i="3"/>
  <c r="I73" i="3"/>
  <c r="I41" i="3"/>
  <c r="I87" i="3"/>
  <c r="I42" i="3"/>
  <c r="I63" i="3"/>
  <c r="I6" i="3"/>
  <c r="I85" i="3"/>
  <c r="I17" i="3"/>
  <c r="I68" i="3"/>
  <c r="I61" i="3"/>
  <c r="I50" i="3"/>
  <c r="I78" i="3"/>
  <c r="I52" i="3"/>
  <c r="I57" i="3"/>
  <c r="I38" i="3"/>
  <c r="I75" i="3"/>
  <c r="I72" i="3"/>
  <c r="I90" i="3"/>
  <c r="I16" i="3"/>
  <c r="I26" i="3"/>
  <c r="I91" i="3"/>
  <c r="I82" i="3"/>
  <c r="I89" i="3"/>
  <c r="I12" i="3"/>
  <c r="I48" i="3"/>
  <c r="I4" i="3"/>
  <c r="I8" i="3"/>
  <c r="I56" i="3"/>
  <c r="I45" i="3"/>
  <c r="I74" i="3"/>
  <c r="I22" i="3"/>
  <c r="I34" i="3"/>
  <c r="I13" i="3"/>
  <c r="I10" i="3"/>
  <c r="I94" i="3"/>
  <c r="I67" i="3"/>
  <c r="I43" i="3"/>
  <c r="I31" i="3"/>
  <c r="I88" i="3"/>
  <c r="I70" i="3"/>
  <c r="I49" i="3"/>
  <c r="I95" i="3"/>
  <c r="I5" i="3"/>
  <c r="I27" i="3"/>
  <c r="I97" i="3"/>
  <c r="I80" i="3"/>
  <c r="I29" i="3"/>
  <c r="I25" i="3"/>
  <c r="I21" i="3"/>
  <c r="I35" i="3"/>
  <c r="I55" i="3"/>
  <c r="I69" i="3"/>
  <c r="I32" i="3"/>
  <c r="I30" i="3"/>
  <c r="I64" i="3"/>
  <c r="I11" i="3"/>
  <c r="I84" i="3"/>
  <c r="I36" i="3"/>
  <c r="I62" i="3"/>
  <c r="I76" i="3"/>
  <c r="I19" i="3"/>
  <c r="I66" i="3"/>
  <c r="G6" i="1"/>
  <c r="F6" i="1"/>
  <c r="G4" i="1"/>
  <c r="J13" i="3" l="1"/>
  <c r="L13" i="3"/>
  <c r="J73" i="3"/>
  <c r="L73" i="3"/>
  <c r="J11" i="3"/>
  <c r="L11" i="3"/>
  <c r="J25" i="3"/>
  <c r="L25" i="3"/>
  <c r="J75" i="3"/>
  <c r="L75" i="3"/>
  <c r="J51" i="3"/>
  <c r="L51" i="3"/>
  <c r="J64" i="3"/>
  <c r="L64" i="3"/>
  <c r="J22" i="3"/>
  <c r="L22" i="3"/>
  <c r="J89" i="3"/>
  <c r="L89" i="3"/>
  <c r="J38" i="3"/>
  <c r="L38" i="3"/>
  <c r="J85" i="3"/>
  <c r="L85" i="3"/>
  <c r="J40" i="3"/>
  <c r="L40" i="3"/>
  <c r="J23" i="3"/>
  <c r="L23" i="3"/>
  <c r="J49" i="3"/>
  <c r="L49" i="3"/>
  <c r="J68" i="3"/>
  <c r="L68" i="3"/>
  <c r="J12" i="3"/>
  <c r="L12" i="3"/>
  <c r="J80" i="3"/>
  <c r="L80" i="3"/>
  <c r="J57" i="3"/>
  <c r="L57" i="3"/>
  <c r="J19" i="3"/>
  <c r="L19" i="3"/>
  <c r="J45" i="3"/>
  <c r="L45" i="3"/>
  <c r="J47" i="3"/>
  <c r="L47" i="3"/>
  <c r="J21" i="3"/>
  <c r="L21" i="3"/>
  <c r="J72" i="3"/>
  <c r="L72" i="3"/>
  <c r="J34" i="3"/>
  <c r="L34" i="3"/>
  <c r="J15" i="3"/>
  <c r="L15" i="3"/>
  <c r="J29" i="3"/>
  <c r="L29" i="3"/>
  <c r="J66" i="3"/>
  <c r="L66" i="3"/>
  <c r="J31" i="3"/>
  <c r="L31" i="3"/>
  <c r="J82" i="3"/>
  <c r="L82" i="3"/>
  <c r="J79" i="3"/>
  <c r="L79" i="3"/>
  <c r="J43" i="3"/>
  <c r="L43" i="3"/>
  <c r="J91" i="3"/>
  <c r="L91" i="3"/>
  <c r="J18" i="3"/>
  <c r="L18" i="3"/>
  <c r="J76" i="3"/>
  <c r="L76" i="3"/>
  <c r="J69" i="3"/>
  <c r="L69" i="3"/>
  <c r="J27" i="3"/>
  <c r="L27" i="3"/>
  <c r="J67" i="3"/>
  <c r="L67" i="3"/>
  <c r="J56" i="3"/>
  <c r="L56" i="3"/>
  <c r="J26" i="3"/>
  <c r="L26" i="3"/>
  <c r="J78" i="3"/>
  <c r="L78" i="3"/>
  <c r="J42" i="3"/>
  <c r="L42" i="3"/>
  <c r="J86" i="3"/>
  <c r="L86" i="3"/>
  <c r="J20" i="3"/>
  <c r="L20" i="3"/>
  <c r="J84" i="3"/>
  <c r="L84" i="3"/>
  <c r="J48" i="3"/>
  <c r="L48" i="3"/>
  <c r="J28" i="3"/>
  <c r="L28" i="3"/>
  <c r="J70" i="3"/>
  <c r="L70" i="3"/>
  <c r="J17" i="3"/>
  <c r="L17" i="3"/>
  <c r="J88" i="3"/>
  <c r="L88" i="3"/>
  <c r="J74" i="3"/>
  <c r="L74" i="3"/>
  <c r="J54" i="3"/>
  <c r="L54" i="3"/>
  <c r="J97" i="3"/>
  <c r="L97" i="3"/>
  <c r="J63" i="3"/>
  <c r="L63" i="3"/>
  <c r="J55" i="3"/>
  <c r="L55" i="3"/>
  <c r="J5" i="3"/>
  <c r="L5" i="3"/>
  <c r="J94" i="3"/>
  <c r="L94" i="3"/>
  <c r="J8" i="3"/>
  <c r="L8" i="3"/>
  <c r="J16" i="3"/>
  <c r="L16" i="3"/>
  <c r="J50" i="3"/>
  <c r="L50" i="3"/>
  <c r="J87" i="3"/>
  <c r="L87" i="3"/>
  <c r="J81" i="3"/>
  <c r="L81" i="3"/>
  <c r="J30" i="3"/>
  <c r="L30" i="3"/>
  <c r="J6" i="3"/>
  <c r="L6" i="3"/>
  <c r="J32" i="3"/>
  <c r="L32" i="3"/>
  <c r="J52" i="3"/>
  <c r="L52" i="3"/>
  <c r="J62" i="3"/>
  <c r="L62" i="3"/>
  <c r="J36" i="3"/>
  <c r="L36" i="3"/>
  <c r="J35" i="3"/>
  <c r="L35" i="3"/>
  <c r="J95" i="3"/>
  <c r="L95" i="3"/>
  <c r="J10" i="3"/>
  <c r="L10" i="3"/>
  <c r="J4" i="3"/>
  <c r="L4" i="3"/>
  <c r="J90" i="3"/>
  <c r="L90" i="3"/>
  <c r="J61" i="3"/>
  <c r="L61" i="3"/>
  <c r="J41" i="3"/>
  <c r="L41" i="3"/>
  <c r="J59" i="3"/>
  <c r="L59" i="3"/>
  <c r="J7" i="3"/>
  <c r="L7" i="3"/>
  <c r="O13" i="3" l="1"/>
  <c r="Q13" i="3" s="1"/>
  <c r="Q12" i="3"/>
</calcChain>
</file>

<file path=xl/comments1.xml><?xml version="1.0" encoding="utf-8"?>
<comments xmlns="http://schemas.openxmlformats.org/spreadsheetml/2006/main">
  <authors>
    <author>gioam</author>
  </authors>
  <commentList>
    <comment ref="D1" authorId="0" shapeId="0">
      <text>
        <r>
          <rPr>
            <b/>
            <sz val="9"/>
            <color indexed="81"/>
            <rFont val="Segoe UI"/>
            <family val="2"/>
          </rPr>
          <t>gioam:</t>
        </r>
        <r>
          <rPr>
            <sz val="9"/>
            <color indexed="81"/>
            <rFont val="Segoe UI"/>
            <family val="2"/>
          </rPr>
          <t xml:space="preserve">
SOMA TEM QUE SER ZERO COMO PROVA REAL</t>
        </r>
      </text>
    </comment>
    <comment ref="E1" authorId="0" shapeId="0">
      <text>
        <r>
          <rPr>
            <b/>
            <sz val="9"/>
            <color indexed="81"/>
            <rFont val="Segoe UI"/>
            <family val="2"/>
          </rPr>
          <t>gioam:</t>
        </r>
        <r>
          <rPr>
            <sz val="9"/>
            <color indexed="81"/>
            <rFont val="Segoe UI"/>
            <family val="2"/>
          </rPr>
          <t xml:space="preserve">
SOMA TEM DE DAR ZERO COMO PROVA REAL
</t>
        </r>
      </text>
    </comment>
    <comment ref="J1" authorId="0" shapeId="0">
      <text>
        <r>
          <rPr>
            <b/>
            <sz val="9"/>
            <color indexed="81"/>
            <rFont val="Segoe UI"/>
            <family val="2"/>
          </rPr>
          <t>gioam:</t>
        </r>
        <r>
          <rPr>
            <sz val="9"/>
            <color indexed="81"/>
            <rFont val="Segoe UI"/>
            <family val="2"/>
          </rPr>
          <t xml:space="preserve">
PROVA REAL  - SOMA = 0</t>
        </r>
      </text>
    </comment>
    <comment ref="K1" authorId="0" shapeId="0">
      <text>
        <r>
          <rPr>
            <b/>
            <sz val="9"/>
            <color indexed="81"/>
            <rFont val="Segoe UI"/>
            <family val="2"/>
          </rPr>
          <t>gioam:</t>
        </r>
        <r>
          <rPr>
            <sz val="9"/>
            <color indexed="81"/>
            <rFont val="Segoe UI"/>
            <family val="2"/>
          </rPr>
          <t xml:space="preserve">
Já calculado
</t>
        </r>
      </text>
    </comment>
  </commentList>
</comments>
</file>

<file path=xl/sharedStrings.xml><?xml version="1.0" encoding="utf-8"?>
<sst xmlns="http://schemas.openxmlformats.org/spreadsheetml/2006/main" count="107" uniqueCount="102">
  <si>
    <t>Período</t>
  </si>
  <si>
    <t>Média</t>
  </si>
  <si>
    <t>CV</t>
  </si>
  <si>
    <t>Assimetria</t>
  </si>
  <si>
    <t>DP</t>
  </si>
  <si>
    <t>Inflação</t>
  </si>
  <si>
    <t>Desocupação</t>
  </si>
  <si>
    <t>Mediana</t>
  </si>
  <si>
    <r>
      <rPr>
        <b/>
        <sz val="10"/>
        <color rgb="FFFF0000"/>
        <rFont val="Calibri"/>
        <family val="2"/>
        <scheme val="minor"/>
      </rPr>
      <t xml:space="preserve">Passo nº 1 - </t>
    </r>
    <r>
      <rPr>
        <sz val="10"/>
        <color rgb="FFFF0000"/>
        <rFont val="Calibri"/>
        <family val="2"/>
        <scheme val="minor"/>
      </rPr>
      <t>Estimar medidas de estatística descritiva</t>
    </r>
  </si>
  <si>
    <t>&lt;-- A variável "desocupação" é mais consistente/precisa</t>
  </si>
  <si>
    <t>Menor CV = Maior precisão da variável</t>
  </si>
  <si>
    <t>Assimetria D</t>
  </si>
  <si>
    <t>Assimetria E</t>
  </si>
  <si>
    <t>Tecnicamente simétrica se: -0.15 &lt; A &lt; +0.15</t>
  </si>
  <si>
    <t>Inflação (%)</t>
  </si>
  <si>
    <t>Desocupação (%)</t>
  </si>
  <si>
    <r>
      <rPr>
        <b/>
        <sz val="10"/>
        <color rgb="FFFF0000"/>
        <rFont val="Calibri"/>
        <family val="2"/>
        <scheme val="minor"/>
      </rPr>
      <t xml:space="preserve">Passo nº 2 - </t>
    </r>
    <r>
      <rPr>
        <sz val="10"/>
        <color rgb="FFFF0000"/>
        <rFont val="Calibri"/>
        <family val="2"/>
        <scheme val="minor"/>
      </rPr>
      <t>Realizar análises gráficas</t>
    </r>
  </si>
  <si>
    <t>1º - Linhas</t>
  </si>
  <si>
    <t>2º - Histograma</t>
  </si>
  <si>
    <t>3º - Boxplot</t>
  </si>
  <si>
    <t>4º - Dispersão</t>
  </si>
  <si>
    <t>Limites Superiores (BLOCOS)</t>
  </si>
  <si>
    <t>Freqüência</t>
  </si>
  <si>
    <t>&lt; 3,00</t>
  </si>
  <si>
    <t>(3,00 , 4,00]</t>
  </si>
  <si>
    <t>(4,00 , 5,00]</t>
  </si>
  <si>
    <t>(5,00 , 6,00]</t>
  </si>
  <si>
    <t>(6,00 , 7,00]</t>
  </si>
  <si>
    <t>(7,00 , 8,00]</t>
  </si>
  <si>
    <t>(8,00 , 9,00]</t>
  </si>
  <si>
    <t>(9,00 , 10,00]</t>
  </si>
  <si>
    <t>&gt; 10,00</t>
  </si>
  <si>
    <t>y = Desocupação</t>
  </si>
  <si>
    <t>x = Inflação</t>
  </si>
  <si>
    <t>Desoc. = - 0,48 * Inflação + 12,58</t>
  </si>
  <si>
    <t>--&gt; A cada aumento em 1p.p. na Inflação, cai a desocup. em 0.48p.p.</t>
  </si>
  <si>
    <t>--&gt; Se a inflação for 0, estima-se uma taxa de desocupação de 12.58%</t>
  </si>
  <si>
    <t>Correlação</t>
  </si>
  <si>
    <t>Inserir dados aqui!</t>
  </si>
  <si>
    <t>Não mexer nisso</t>
  </si>
  <si>
    <t>Lim. Inf.</t>
  </si>
  <si>
    <t>Mínimo</t>
  </si>
  <si>
    <t>LI</t>
  </si>
  <si>
    <t>1º Quartil</t>
  </si>
  <si>
    <t>A</t>
  </si>
  <si>
    <t>B-A</t>
  </si>
  <si>
    <t>3º Quartil</t>
  </si>
  <si>
    <t>C-B</t>
  </si>
  <si>
    <t>Lim. Sup.</t>
  </si>
  <si>
    <t>Máximo</t>
  </si>
  <si>
    <t>D-C</t>
  </si>
  <si>
    <t>E-D</t>
  </si>
  <si>
    <t>LS</t>
  </si>
  <si>
    <t>PROCEDIMENTO PARA O BOXPLOT - Versão 1</t>
  </si>
  <si>
    <t>1- Insira, nas células verdes, os valores solicitados</t>
  </si>
  <si>
    <t>2- Analise e interprete o gráfico :-)</t>
  </si>
  <si>
    <t>Inflação (%) Y</t>
  </si>
  <si>
    <t>Desocupação (%) X</t>
  </si>
  <si>
    <t>Média X</t>
  </si>
  <si>
    <t>Média Y</t>
  </si>
  <si>
    <t>y = Y - Y barra</t>
  </si>
  <si>
    <t>x = X - X barra</t>
  </si>
  <si>
    <t>x * y</t>
  </si>
  <si>
    <t>y²</t>
  </si>
  <si>
    <t>x²</t>
  </si>
  <si>
    <t>Desvio padrão Y (pop.)</t>
  </si>
  <si>
    <t>Desvio padrão X (pop.)</t>
  </si>
  <si>
    <r>
      <t>Alfa (</t>
    </r>
    <r>
      <rPr>
        <sz val="11.5"/>
        <color indexed="8"/>
        <rFont val="Calibri"/>
        <family val="2"/>
      </rPr>
      <t>β</t>
    </r>
    <r>
      <rPr>
        <sz val="11.5"/>
        <color indexed="8"/>
        <rFont val="Arial"/>
        <family val="2"/>
      </rPr>
      <t>0)</t>
    </r>
  </si>
  <si>
    <t>Beta (β1)</t>
  </si>
  <si>
    <t>P.S: Alfa depende de Beta, ou seja, calcula-se sempre primeiro o beta.</t>
  </si>
  <si>
    <t>Coeficiente linear / intercepto</t>
  </si>
  <si>
    <t>Coeficiente angular / inclinação</t>
  </si>
  <si>
    <t>Y chapeu</t>
  </si>
  <si>
    <t>Inflação = 9,687 - 0,398 * Desocupação + e</t>
  </si>
  <si>
    <t>s²(Alfa)</t>
  </si>
  <si>
    <t>s²(Beta)</t>
  </si>
  <si>
    <t>Sigma^2</t>
  </si>
  <si>
    <t>t(alfa)</t>
  </si>
  <si>
    <t>t(beta)</t>
  </si>
  <si>
    <t>gl</t>
  </si>
  <si>
    <t>t(crítico</t>
  </si>
  <si>
    <t>Y - Ybarra</t>
  </si>
  <si>
    <t>Y^ - Ybarra</t>
  </si>
  <si>
    <t>ê = Y - Y^</t>
  </si>
  <si>
    <t>STQ</t>
  </si>
  <si>
    <t>SQRes</t>
  </si>
  <si>
    <t>SQReg</t>
  </si>
  <si>
    <t>Coluna K</t>
  </si>
  <si>
    <t>Coluna J</t>
  </si>
  <si>
    <t>Coluna L</t>
  </si>
  <si>
    <t>R²</t>
  </si>
  <si>
    <t>Significância estatística dos coeficientes</t>
  </si>
  <si>
    <t>Significância estatística do modelos como um todo</t>
  </si>
  <si>
    <t xml:space="preserve">FONTE </t>
  </si>
  <si>
    <t xml:space="preserve">Regressão </t>
  </si>
  <si>
    <t>GL</t>
  </si>
  <si>
    <t>QM</t>
  </si>
  <si>
    <t>F</t>
  </si>
  <si>
    <t xml:space="preserve">Resíduos </t>
  </si>
  <si>
    <t>Total</t>
  </si>
  <si>
    <t>SQ</t>
  </si>
  <si>
    <t>F9crit)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</si>
</sst>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"/>
    <numFmt numFmtId="165" formatCode="0.000"/>
    <numFmt numFmtId="166" formatCode="0.0"/>
    <numFmt numFmtId="167" formatCode="0.000000"/>
    <numFmt numFmtId="168" formatCode="0.00000"/>
    <numFmt numFmtId="169" formatCode="0.0000"/>
  </numFmts>
  <fonts count="20" x14ac:knownFonts="1">
    <font>
      <sz val="10"/>
      <color indexed="8"/>
      <name val="Arial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262626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.5"/>
      <color indexed="8"/>
      <name val="Arial"/>
      <family val="2"/>
    </font>
    <font>
      <b/>
      <sz val="11.5"/>
      <color indexed="8"/>
      <name val="Arial"/>
      <family val="2"/>
    </font>
    <font>
      <b/>
      <sz val="11.5"/>
      <color theme="0"/>
      <name val="Arial"/>
      <family val="2"/>
    </font>
    <font>
      <sz val="11.5"/>
      <color indexed="8"/>
      <name val="Calibri"/>
      <family val="2"/>
    </font>
    <font>
      <i/>
      <sz val="11.5"/>
      <color indexed="8"/>
      <name val="Arial"/>
      <family val="2"/>
    </font>
    <font>
      <b/>
      <i/>
      <sz val="11.5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2" fillId="0" borderId="0" xfId="0" applyFont="1" applyAlignment="1">
      <alignment vertical="center"/>
    </xf>
    <xf numFmtId="4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" fontId="2" fillId="0" borderId="7" xfId="0" applyNumberFormat="1" applyFont="1" applyBorder="1" applyAlignment="1">
      <alignment horizontal="center" vertical="center"/>
    </xf>
    <xf numFmtId="4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4" fontId="2" fillId="0" borderId="9" xfId="0" applyNumberFormat="1" applyFont="1" applyBorder="1" applyAlignment="1">
      <alignment horizontal="center" vertical="center"/>
    </xf>
    <xf numFmtId="4" fontId="2" fillId="0" borderId="10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2" fillId="0" borderId="7" xfId="0" applyNumberFormat="1" applyFont="1" applyFill="1" applyBorder="1" applyAlignment="1" applyProtection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4" fontId="2" fillId="0" borderId="9" xfId="0" applyNumberFormat="1" applyFont="1" applyFill="1" applyBorder="1" applyAlignment="1" applyProtection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4" fontId="2" fillId="0" borderId="11" xfId="0" applyNumberFormat="1" applyFont="1" applyFill="1" applyBorder="1" applyAlignment="1" applyProtection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Fill="1" applyBorder="1" applyAlignment="1"/>
    <xf numFmtId="0" fontId="0" fillId="0" borderId="13" xfId="0" applyFill="1" applyBorder="1" applyAlignment="1"/>
    <xf numFmtId="0" fontId="7" fillId="0" borderId="14" xfId="0" applyFont="1" applyFill="1" applyBorder="1" applyAlignment="1">
      <alignment horizontal="center"/>
    </xf>
    <xf numFmtId="0" fontId="6" fillId="0" borderId="0" xfId="0" applyNumberFormat="1" applyFont="1" applyFill="1" applyBorder="1" applyAlignment="1"/>
    <xf numFmtId="0" fontId="6" fillId="0" borderId="13" xfId="0" applyFont="1" applyFill="1" applyBorder="1" applyAlignment="1"/>
    <xf numFmtId="0" fontId="2" fillId="2" borderId="0" xfId="0" applyFont="1" applyFill="1" applyAlignment="1">
      <alignment horizontal="left" vertical="center"/>
    </xf>
    <xf numFmtId="166" fontId="2" fillId="3" borderId="9" xfId="0" applyNumberFormat="1" applyFont="1" applyFill="1" applyBorder="1" applyAlignment="1">
      <alignment horizontal="center" vertical="center"/>
    </xf>
    <xf numFmtId="0" fontId="2" fillId="0" borderId="0" xfId="0" quotePrefix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17" fontId="3" fillId="3" borderId="4" xfId="0" applyNumberFormat="1" applyFont="1" applyFill="1" applyBorder="1" applyAlignment="1">
      <alignment horizontal="left" vertical="center"/>
    </xf>
    <xf numFmtId="17" fontId="3" fillId="3" borderId="5" xfId="0" applyNumberFormat="1" applyFont="1" applyFill="1" applyBorder="1" applyAlignment="1">
      <alignment horizontal="left" vertical="center"/>
    </xf>
    <xf numFmtId="17" fontId="3" fillId="3" borderId="6" xfId="0" applyNumberFormat="1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9" fillId="4" borderId="0" xfId="1" applyFont="1" applyFill="1" applyAlignment="1">
      <alignment vertical="center"/>
    </xf>
    <xf numFmtId="0" fontId="10" fillId="4" borderId="0" xfId="1" applyFont="1" applyFill="1" applyAlignment="1">
      <alignment horizontal="center" vertical="center"/>
    </xf>
    <xf numFmtId="0" fontId="10" fillId="4" borderId="0" xfId="1" applyFont="1" applyFill="1" applyAlignment="1">
      <alignment horizontal="left" vertical="center"/>
    </xf>
    <xf numFmtId="2" fontId="9" fillId="5" borderId="0" xfId="1" applyNumberFormat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2" fontId="4" fillId="4" borderId="0" xfId="1" applyNumberFormat="1" applyFont="1" applyFill="1" applyAlignment="1">
      <alignment horizontal="center" vertical="center"/>
    </xf>
    <xf numFmtId="0" fontId="9" fillId="4" borderId="0" xfId="1" applyFont="1" applyFill="1" applyAlignment="1">
      <alignment horizontal="center" vertical="center"/>
    </xf>
    <xf numFmtId="0" fontId="8" fillId="0" borderId="0" xfId="1" applyFont="1" applyAlignment="1">
      <alignment vertical="center"/>
    </xf>
    <xf numFmtId="0" fontId="11" fillId="0" borderId="0" xfId="0" applyFont="1"/>
    <xf numFmtId="0" fontId="14" fillId="0" borderId="0" xfId="0" applyFont="1"/>
    <xf numFmtId="0" fontId="15" fillId="0" borderId="15" xfId="0" applyFont="1" applyBorder="1"/>
    <xf numFmtId="164" fontId="14" fillId="0" borderId="16" xfId="0" applyNumberFormat="1" applyFont="1" applyBorder="1"/>
    <xf numFmtId="0" fontId="15" fillId="0" borderId="17" xfId="0" applyFont="1" applyBorder="1"/>
    <xf numFmtId="4" fontId="14" fillId="0" borderId="18" xfId="0" applyNumberFormat="1" applyFont="1" applyBorder="1"/>
    <xf numFmtId="2" fontId="14" fillId="0" borderId="18" xfId="0" applyNumberFormat="1" applyFont="1" applyBorder="1"/>
    <xf numFmtId="0" fontId="15" fillId="0" borderId="19" xfId="0" applyFont="1" applyBorder="1"/>
    <xf numFmtId="0" fontId="14" fillId="0" borderId="20" xfId="0" applyFont="1" applyBorder="1"/>
    <xf numFmtId="4" fontId="14" fillId="0" borderId="8" xfId="0" applyNumberFormat="1" applyFont="1" applyBorder="1" applyAlignment="1">
      <alignment horizontal="center" vertical="center" wrapText="1"/>
    </xf>
    <xf numFmtId="4" fontId="14" fillId="0" borderId="4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7" fontId="15" fillId="0" borderId="4" xfId="0" applyNumberFormat="1" applyFont="1" applyFill="1" applyBorder="1" applyAlignment="1">
      <alignment horizontal="left" vertical="center"/>
    </xf>
    <xf numFmtId="17" fontId="15" fillId="0" borderId="5" xfId="0" applyNumberFormat="1" applyFont="1" applyFill="1" applyBorder="1" applyAlignment="1">
      <alignment horizontal="left" vertical="center"/>
    </xf>
    <xf numFmtId="17" fontId="15" fillId="0" borderId="6" xfId="0" applyNumberFormat="1" applyFont="1" applyFill="1" applyBorder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8" fillId="0" borderId="0" xfId="0" applyFont="1"/>
    <xf numFmtId="0" fontId="19" fillId="0" borderId="0" xfId="0" applyFont="1"/>
    <xf numFmtId="0" fontId="14" fillId="0" borderId="15" xfId="0" applyFont="1" applyBorder="1"/>
    <xf numFmtId="2" fontId="11" fillId="0" borderId="16" xfId="0" applyNumberFormat="1" applyFont="1" applyBorder="1"/>
    <xf numFmtId="0" fontId="14" fillId="0" borderId="19" xfId="0" applyFont="1" applyBorder="1"/>
    <xf numFmtId="2" fontId="11" fillId="0" borderId="20" xfId="0" applyNumberFormat="1" applyFont="1" applyBorder="1"/>
    <xf numFmtId="167" fontId="11" fillId="0" borderId="16" xfId="0" applyNumberFormat="1" applyFont="1" applyBorder="1"/>
    <xf numFmtId="0" fontId="14" fillId="0" borderId="17" xfId="0" applyFont="1" applyBorder="1"/>
    <xf numFmtId="167" fontId="14" fillId="0" borderId="18" xfId="0" applyNumberFormat="1" applyFont="1" applyBorder="1"/>
    <xf numFmtId="167" fontId="14" fillId="0" borderId="20" xfId="0" applyNumberFormat="1" applyFont="1" applyBorder="1"/>
    <xf numFmtId="169" fontId="14" fillId="0" borderId="16" xfId="0" applyNumberFormat="1" applyFont="1" applyBorder="1"/>
    <xf numFmtId="169" fontId="14" fillId="0" borderId="20" xfId="0" applyNumberFormat="1" applyFont="1" applyBorder="1"/>
    <xf numFmtId="0" fontId="14" fillId="0" borderId="21" xfId="0" applyFont="1" applyBorder="1"/>
    <xf numFmtId="0" fontId="14" fillId="0" borderId="22" xfId="0" applyFont="1" applyBorder="1"/>
    <xf numFmtId="0" fontId="14" fillId="0" borderId="23" xfId="0" applyFont="1" applyBorder="1"/>
    <xf numFmtId="0" fontId="14" fillId="0" borderId="16" xfId="0" applyFont="1" applyBorder="1"/>
    <xf numFmtId="0" fontId="14" fillId="0" borderId="0" xfId="0" applyFont="1" applyBorder="1"/>
    <xf numFmtId="0" fontId="14" fillId="0" borderId="18" xfId="0" applyFont="1" applyBorder="1"/>
    <xf numFmtId="168" fontId="14" fillId="0" borderId="13" xfId="0" applyNumberFormat="1" applyFont="1" applyBorder="1"/>
    <xf numFmtId="0" fontId="14" fillId="0" borderId="13" xfId="0" applyFont="1" applyBorder="1"/>
    <xf numFmtId="0" fontId="14" fillId="0" borderId="24" xfId="0" applyFont="1" applyBorder="1"/>
    <xf numFmtId="0" fontId="4" fillId="4" borderId="0" xfId="1" applyFont="1" applyFill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HISTOGRAMA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Freqüência</c:v>
          </c:tx>
          <c:invertIfNegative val="0"/>
          <c:cat>
            <c:strRef>
              <c:f>'Estatistica descritiva'!$F$27:$F$35</c:f>
              <c:strCache>
                <c:ptCount val="9"/>
                <c:pt idx="0">
                  <c:v>&lt; 3,00</c:v>
                </c:pt>
                <c:pt idx="1">
                  <c:v>(3,00 , 4,00]</c:v>
                </c:pt>
                <c:pt idx="2">
                  <c:v>(4,00 , 5,00]</c:v>
                </c:pt>
                <c:pt idx="3">
                  <c:v>(5,00 , 6,00]</c:v>
                </c:pt>
                <c:pt idx="4">
                  <c:v>(6,00 , 7,00]</c:v>
                </c:pt>
                <c:pt idx="5">
                  <c:v>(7,00 , 8,00]</c:v>
                </c:pt>
                <c:pt idx="6">
                  <c:v>(8,00 , 9,00]</c:v>
                </c:pt>
                <c:pt idx="7">
                  <c:v>(9,00 , 10,00]</c:v>
                </c:pt>
                <c:pt idx="8">
                  <c:v>&gt; 10,00</c:v>
                </c:pt>
              </c:strCache>
            </c:strRef>
          </c:cat>
          <c:val>
            <c:numRef>
              <c:f>'Estatistica descritiva'!$G$27:$G$35</c:f>
              <c:numCache>
                <c:formatCode>General</c:formatCode>
                <c:ptCount val="9"/>
                <c:pt idx="0">
                  <c:v>14</c:v>
                </c:pt>
                <c:pt idx="1">
                  <c:v>8</c:v>
                </c:pt>
                <c:pt idx="2">
                  <c:v>17</c:v>
                </c:pt>
                <c:pt idx="3">
                  <c:v>15</c:v>
                </c:pt>
                <c:pt idx="4">
                  <c:v>20</c:v>
                </c:pt>
                <c:pt idx="5">
                  <c:v>3</c:v>
                </c:pt>
                <c:pt idx="6">
                  <c:v>8</c:v>
                </c:pt>
                <c:pt idx="7">
                  <c:v>7</c:v>
                </c:pt>
                <c:pt idx="8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395-471E-9257-C953F7512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28261080"/>
        <c:axId val="327862048"/>
      </c:barChart>
      <c:catAx>
        <c:axId val="328261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7862048"/>
        <c:crosses val="autoZero"/>
        <c:auto val="1"/>
        <c:lblAlgn val="ctr"/>
        <c:lblOffset val="100"/>
        <c:noMultiLvlLbl val="0"/>
      </c:catAx>
      <c:valAx>
        <c:axId val="327862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8261080"/>
        <c:crosses val="autoZero"/>
        <c:crossBetween val="between"/>
      </c:valAx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Gráfico de Linhas </a:t>
            </a:r>
            <a:r>
              <a:rPr lang="pt-BR"/>
              <a:t>-</a:t>
            </a:r>
            <a:r>
              <a:rPr lang="pt-BR" baseline="0"/>
              <a:t> Inflações e Desocupação (%)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'Estatistica descritiva'!$B$1</c:f>
              <c:strCache>
                <c:ptCount val="1"/>
                <c:pt idx="0">
                  <c:v>Inflação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'Estatistica descritiva'!$A$2:$A$97</c:f>
              <c:numCache>
                <c:formatCode>mmm\-yy</c:formatCode>
                <c:ptCount val="96"/>
                <c:pt idx="0">
                  <c:v>40969</c:v>
                </c:pt>
                <c:pt idx="1">
                  <c:v>41000</c:v>
                </c:pt>
                <c:pt idx="2">
                  <c:v>41030</c:v>
                </c:pt>
                <c:pt idx="3">
                  <c:v>41061</c:v>
                </c:pt>
                <c:pt idx="4">
                  <c:v>41091</c:v>
                </c:pt>
                <c:pt idx="5">
                  <c:v>41122</c:v>
                </c:pt>
                <c:pt idx="6">
                  <c:v>41153</c:v>
                </c:pt>
                <c:pt idx="7">
                  <c:v>41183</c:v>
                </c:pt>
                <c:pt idx="8">
                  <c:v>41214</c:v>
                </c:pt>
                <c:pt idx="9">
                  <c:v>41244</c:v>
                </c:pt>
                <c:pt idx="10">
                  <c:v>41275</c:v>
                </c:pt>
                <c:pt idx="11">
                  <c:v>41306</c:v>
                </c:pt>
                <c:pt idx="12">
                  <c:v>41334</c:v>
                </c:pt>
                <c:pt idx="13">
                  <c:v>41365</c:v>
                </c:pt>
                <c:pt idx="14">
                  <c:v>41395</c:v>
                </c:pt>
                <c:pt idx="15">
                  <c:v>41426</c:v>
                </c:pt>
                <c:pt idx="16">
                  <c:v>41456</c:v>
                </c:pt>
                <c:pt idx="17">
                  <c:v>41487</c:v>
                </c:pt>
                <c:pt idx="18">
                  <c:v>41518</c:v>
                </c:pt>
                <c:pt idx="19">
                  <c:v>41548</c:v>
                </c:pt>
                <c:pt idx="20">
                  <c:v>41579</c:v>
                </c:pt>
                <c:pt idx="21">
                  <c:v>41609</c:v>
                </c:pt>
                <c:pt idx="22">
                  <c:v>41640</c:v>
                </c:pt>
                <c:pt idx="23">
                  <c:v>41671</c:v>
                </c:pt>
                <c:pt idx="24">
                  <c:v>41699</c:v>
                </c:pt>
                <c:pt idx="25">
                  <c:v>41730</c:v>
                </c:pt>
                <c:pt idx="26">
                  <c:v>41760</c:v>
                </c:pt>
                <c:pt idx="27">
                  <c:v>41791</c:v>
                </c:pt>
                <c:pt idx="28">
                  <c:v>41821</c:v>
                </c:pt>
                <c:pt idx="29">
                  <c:v>41852</c:v>
                </c:pt>
                <c:pt idx="30">
                  <c:v>41883</c:v>
                </c:pt>
                <c:pt idx="31">
                  <c:v>41913</c:v>
                </c:pt>
                <c:pt idx="32">
                  <c:v>41944</c:v>
                </c:pt>
                <c:pt idx="33">
                  <c:v>41974</c:v>
                </c:pt>
                <c:pt idx="34">
                  <c:v>42005</c:v>
                </c:pt>
                <c:pt idx="35">
                  <c:v>42036</c:v>
                </c:pt>
                <c:pt idx="36">
                  <c:v>42064</c:v>
                </c:pt>
                <c:pt idx="37">
                  <c:v>42095</c:v>
                </c:pt>
                <c:pt idx="38">
                  <c:v>42125</c:v>
                </c:pt>
                <c:pt idx="39">
                  <c:v>42156</c:v>
                </c:pt>
                <c:pt idx="40">
                  <c:v>42186</c:v>
                </c:pt>
                <c:pt idx="41">
                  <c:v>42217</c:v>
                </c:pt>
                <c:pt idx="42">
                  <c:v>42248</c:v>
                </c:pt>
                <c:pt idx="43">
                  <c:v>42278</c:v>
                </c:pt>
                <c:pt idx="44">
                  <c:v>42309</c:v>
                </c:pt>
                <c:pt idx="45">
                  <c:v>42339</c:v>
                </c:pt>
                <c:pt idx="46">
                  <c:v>42370</c:v>
                </c:pt>
                <c:pt idx="47">
                  <c:v>42401</c:v>
                </c:pt>
                <c:pt idx="48">
                  <c:v>42430</c:v>
                </c:pt>
                <c:pt idx="49">
                  <c:v>42461</c:v>
                </c:pt>
                <c:pt idx="50">
                  <c:v>42491</c:v>
                </c:pt>
                <c:pt idx="51">
                  <c:v>42522</c:v>
                </c:pt>
                <c:pt idx="52">
                  <c:v>42552</c:v>
                </c:pt>
                <c:pt idx="53">
                  <c:v>42583</c:v>
                </c:pt>
                <c:pt idx="54">
                  <c:v>42614</c:v>
                </c:pt>
                <c:pt idx="55">
                  <c:v>42644</c:v>
                </c:pt>
                <c:pt idx="56">
                  <c:v>42675</c:v>
                </c:pt>
                <c:pt idx="57">
                  <c:v>42705</c:v>
                </c:pt>
                <c:pt idx="58">
                  <c:v>42736</c:v>
                </c:pt>
                <c:pt idx="59">
                  <c:v>42767</c:v>
                </c:pt>
                <c:pt idx="60">
                  <c:v>42795</c:v>
                </c:pt>
                <c:pt idx="61">
                  <c:v>42826</c:v>
                </c:pt>
                <c:pt idx="62">
                  <c:v>42856</c:v>
                </c:pt>
                <c:pt idx="63">
                  <c:v>42887</c:v>
                </c:pt>
                <c:pt idx="64">
                  <c:v>42917</c:v>
                </c:pt>
                <c:pt idx="65">
                  <c:v>42948</c:v>
                </c:pt>
                <c:pt idx="66">
                  <c:v>42979</c:v>
                </c:pt>
                <c:pt idx="67">
                  <c:v>43009</c:v>
                </c:pt>
                <c:pt idx="68">
                  <c:v>43040</c:v>
                </c:pt>
                <c:pt idx="69">
                  <c:v>43070</c:v>
                </c:pt>
                <c:pt idx="70">
                  <c:v>43101</c:v>
                </c:pt>
                <c:pt idx="71">
                  <c:v>43132</c:v>
                </c:pt>
                <c:pt idx="72">
                  <c:v>43160</c:v>
                </c:pt>
                <c:pt idx="73">
                  <c:v>43191</c:v>
                </c:pt>
                <c:pt idx="74">
                  <c:v>43221</c:v>
                </c:pt>
                <c:pt idx="75">
                  <c:v>43252</c:v>
                </c:pt>
                <c:pt idx="76">
                  <c:v>43282</c:v>
                </c:pt>
                <c:pt idx="77">
                  <c:v>43313</c:v>
                </c:pt>
                <c:pt idx="78">
                  <c:v>43344</c:v>
                </c:pt>
                <c:pt idx="79">
                  <c:v>43374</c:v>
                </c:pt>
                <c:pt idx="80">
                  <c:v>43405</c:v>
                </c:pt>
                <c:pt idx="81">
                  <c:v>43435</c:v>
                </c:pt>
                <c:pt idx="82">
                  <c:v>43466</c:v>
                </c:pt>
                <c:pt idx="83">
                  <c:v>43497</c:v>
                </c:pt>
                <c:pt idx="84">
                  <c:v>43525</c:v>
                </c:pt>
                <c:pt idx="85">
                  <c:v>43556</c:v>
                </c:pt>
                <c:pt idx="86">
                  <c:v>43586</c:v>
                </c:pt>
                <c:pt idx="87">
                  <c:v>43617</c:v>
                </c:pt>
                <c:pt idx="88">
                  <c:v>43647</c:v>
                </c:pt>
                <c:pt idx="89">
                  <c:v>43678</c:v>
                </c:pt>
                <c:pt idx="90">
                  <c:v>43709</c:v>
                </c:pt>
                <c:pt idx="91">
                  <c:v>43739</c:v>
                </c:pt>
                <c:pt idx="92">
                  <c:v>43770</c:v>
                </c:pt>
                <c:pt idx="93">
                  <c:v>43800</c:v>
                </c:pt>
                <c:pt idx="94">
                  <c:v>43831</c:v>
                </c:pt>
                <c:pt idx="95">
                  <c:v>43862</c:v>
                </c:pt>
              </c:numCache>
            </c:numRef>
          </c:cat>
          <c:val>
            <c:numRef>
              <c:f>'Estatistica descritiva'!$B$2:$B$97</c:f>
              <c:numCache>
                <c:formatCode>#,##0.00</c:formatCode>
                <c:ptCount val="96"/>
                <c:pt idx="0">
                  <c:v>5.2399926989787238</c:v>
                </c:pt>
                <c:pt idx="1">
                  <c:v>5.1042261111959419</c:v>
                </c:pt>
                <c:pt idx="2">
                  <c:v>4.9891523093423373</c:v>
                </c:pt>
                <c:pt idx="3">
                  <c:v>4.9157699762254925</c:v>
                </c:pt>
                <c:pt idx="4">
                  <c:v>5.198590043054363</c:v>
                </c:pt>
                <c:pt idx="5">
                  <c:v>5.2405143591021996</c:v>
                </c:pt>
                <c:pt idx="6">
                  <c:v>5.2823886312037382</c:v>
                </c:pt>
                <c:pt idx="7">
                  <c:v>5.4501192115182784</c:v>
                </c:pt>
                <c:pt idx="8">
                  <c:v>5.5340429036881966</c:v>
                </c:pt>
                <c:pt idx="9">
                  <c:v>5.8385689976391042</c:v>
                </c:pt>
                <c:pt idx="10">
                  <c:v>6.1543165185151461</c:v>
                </c:pt>
                <c:pt idx="11">
                  <c:v>6.3128346616487807</c:v>
                </c:pt>
                <c:pt idx="12">
                  <c:v>6.5886687801203436</c:v>
                </c:pt>
                <c:pt idx="13">
                  <c:v>6.4933490246532166</c:v>
                </c:pt>
                <c:pt idx="14">
                  <c:v>6.5039601594703234</c:v>
                </c:pt>
                <c:pt idx="15">
                  <c:v>6.6955140446492312</c:v>
                </c:pt>
                <c:pt idx="16">
                  <c:v>6.2705592938988364</c:v>
                </c:pt>
                <c:pt idx="17">
                  <c:v>6.0906370244041774</c:v>
                </c:pt>
                <c:pt idx="18">
                  <c:v>5.8585604593711649</c:v>
                </c:pt>
                <c:pt idx="19">
                  <c:v>5.8375129277160376</c:v>
                </c:pt>
                <c:pt idx="20">
                  <c:v>5.7743891625503752</c:v>
                </c:pt>
                <c:pt idx="21">
                  <c:v>5.9108180800137911</c:v>
                </c:pt>
                <c:pt idx="22">
                  <c:v>5.5852940506185611</c:v>
                </c:pt>
                <c:pt idx="23">
                  <c:v>5.6797540552363524</c:v>
                </c:pt>
                <c:pt idx="24">
                  <c:v>6.1530882776396734</c:v>
                </c:pt>
                <c:pt idx="25">
                  <c:v>6.279775205469762</c:v>
                </c:pt>
                <c:pt idx="26">
                  <c:v>6.3750743961491718</c:v>
                </c:pt>
                <c:pt idx="27">
                  <c:v>6.5236132991559836</c:v>
                </c:pt>
                <c:pt idx="28">
                  <c:v>6.50231496599607</c:v>
                </c:pt>
                <c:pt idx="29">
                  <c:v>6.5129396981355558</c:v>
                </c:pt>
                <c:pt idx="30">
                  <c:v>6.7464508763476871</c:v>
                </c:pt>
                <c:pt idx="31">
                  <c:v>6.5872387093848461</c:v>
                </c:pt>
                <c:pt idx="32">
                  <c:v>6.555434281681638</c:v>
                </c:pt>
                <c:pt idx="33">
                  <c:v>6.4076165963919518</c:v>
                </c:pt>
                <c:pt idx="34">
                  <c:v>7.1378130703005693</c:v>
                </c:pt>
                <c:pt idx="35">
                  <c:v>7.7017522988958476</c:v>
                </c:pt>
                <c:pt idx="36">
                  <c:v>8.1286320147059943</c:v>
                </c:pt>
                <c:pt idx="37">
                  <c:v>8.1715956114139168</c:v>
                </c:pt>
                <c:pt idx="38">
                  <c:v>8.4730892085789442</c:v>
                </c:pt>
                <c:pt idx="39">
                  <c:v>8.8944488180545012</c:v>
                </c:pt>
                <c:pt idx="40">
                  <c:v>9.5586385368727775</c:v>
                </c:pt>
                <c:pt idx="41">
                  <c:v>9.5258529093804398</c:v>
                </c:pt>
                <c:pt idx="42">
                  <c:v>9.4931813812181289</c:v>
                </c:pt>
                <c:pt idx="43">
                  <c:v>9.9293223148218637</c:v>
                </c:pt>
                <c:pt idx="44">
                  <c:v>10.476179952444076</c:v>
                </c:pt>
                <c:pt idx="45">
                  <c:v>10.673497995621762</c:v>
                </c:pt>
                <c:pt idx="46">
                  <c:v>10.706293382226505</c:v>
                </c:pt>
                <c:pt idx="47">
                  <c:v>10.356303124547072</c:v>
                </c:pt>
                <c:pt idx="48">
                  <c:v>9.3869277812698151</c:v>
                </c:pt>
                <c:pt idx="49">
                  <c:v>9.2783120253555609</c:v>
                </c:pt>
                <c:pt idx="50">
                  <c:v>9.3217022624114243</c:v>
                </c:pt>
                <c:pt idx="51">
                  <c:v>8.8444570099512898</c:v>
                </c:pt>
                <c:pt idx="52">
                  <c:v>8.7362832303747204</c:v>
                </c:pt>
                <c:pt idx="53">
                  <c:v>8.9749779251530484</c:v>
                </c:pt>
                <c:pt idx="54">
                  <c:v>8.4763854261917118</c:v>
                </c:pt>
                <c:pt idx="55">
                  <c:v>7.8738583895058278</c:v>
                </c:pt>
                <c:pt idx="56">
                  <c:v>6.9874580087189164</c:v>
                </c:pt>
                <c:pt idx="57">
                  <c:v>6.2880550542244951</c:v>
                </c:pt>
                <c:pt idx="58">
                  <c:v>5.3539544420169616</c:v>
                </c:pt>
                <c:pt idx="59">
                  <c:v>4.7587933515120362</c:v>
                </c:pt>
                <c:pt idx="60">
                  <c:v>4.5710348848858384</c:v>
                </c:pt>
                <c:pt idx="61">
                  <c:v>4.0825308952635586</c:v>
                </c:pt>
                <c:pt idx="62">
                  <c:v>3.5971291337952627</c:v>
                </c:pt>
                <c:pt idx="63">
                  <c:v>2.9983614716367679</c:v>
                </c:pt>
                <c:pt idx="64">
                  <c:v>2.7114579577881992</c:v>
                </c:pt>
                <c:pt idx="65">
                  <c:v>2.455804189474331</c:v>
                </c:pt>
                <c:pt idx="66">
                  <c:v>2.5377033135266736</c:v>
                </c:pt>
                <c:pt idx="67">
                  <c:v>2.7013381881543008</c:v>
                </c:pt>
                <c:pt idx="68">
                  <c:v>2.8038549960881287</c:v>
                </c:pt>
                <c:pt idx="69">
                  <c:v>2.9473499083458643</c:v>
                </c:pt>
                <c:pt idx="70">
                  <c:v>2.8550480405260759</c:v>
                </c:pt>
                <c:pt idx="71">
                  <c:v>2.8447963662471709</c:v>
                </c:pt>
                <c:pt idx="72">
                  <c:v>2.6806550453633449</c:v>
                </c:pt>
                <c:pt idx="73">
                  <c:v>2.762684727844178</c:v>
                </c:pt>
                <c:pt idx="74">
                  <c:v>2.8548853222565507</c:v>
                </c:pt>
                <c:pt idx="75">
                  <c:v>4.3909560762924293</c:v>
                </c:pt>
                <c:pt idx="76">
                  <c:v>4.4846829921630249</c:v>
                </c:pt>
                <c:pt idx="77">
                  <c:v>4.192680684170158</c:v>
                </c:pt>
                <c:pt idx="78">
                  <c:v>4.5255646480172995</c:v>
                </c:pt>
                <c:pt idx="79">
                  <c:v>4.5567911660360672</c:v>
                </c:pt>
                <c:pt idx="80">
                  <c:v>4.0458934030588312</c:v>
                </c:pt>
                <c:pt idx="81">
                  <c:v>3.7454821218273926</c:v>
                </c:pt>
                <c:pt idx="82">
                  <c:v>3.7765157688874451</c:v>
                </c:pt>
                <c:pt idx="83">
                  <c:v>3.8903058081077635</c:v>
                </c:pt>
                <c:pt idx="84">
                  <c:v>4.575365272922971</c:v>
                </c:pt>
                <c:pt idx="85">
                  <c:v>4.9405755886834823</c:v>
                </c:pt>
                <c:pt idx="86">
                  <c:v>4.6583648774390696</c:v>
                </c:pt>
                <c:pt idx="87">
                  <c:v>3.3664138988019232</c:v>
                </c:pt>
                <c:pt idx="88">
                  <c:v>3.2221769014348478</c:v>
                </c:pt>
                <c:pt idx="89">
                  <c:v>3.4288072225267641</c:v>
                </c:pt>
                <c:pt idx="90">
                  <c:v>2.8935466755948935</c:v>
                </c:pt>
                <c:pt idx="91">
                  <c:v>2.5350325756799075</c:v>
                </c:pt>
                <c:pt idx="92">
                  <c:v>3.2748384024610777</c:v>
                </c:pt>
                <c:pt idx="93">
                  <c:v>4.3060399841131636</c:v>
                </c:pt>
                <c:pt idx="94">
                  <c:v>4.1916693262358473</c:v>
                </c:pt>
                <c:pt idx="95">
                  <c:v>4.0049273121093965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4BE-4F70-B52E-221BAC01C317}"/>
            </c:ext>
          </c:extLst>
        </c:ser>
        <c:ser>
          <c:idx val="1"/>
          <c:order val="1"/>
          <c:tx>
            <c:strRef>
              <c:f>'Estatistica descritiva'!$C$1</c:f>
              <c:strCache>
                <c:ptCount val="1"/>
                <c:pt idx="0">
                  <c:v>Desocupação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'Estatistica descritiva'!$A$2:$A$97</c:f>
              <c:numCache>
                <c:formatCode>mmm\-yy</c:formatCode>
                <c:ptCount val="96"/>
                <c:pt idx="0">
                  <c:v>40969</c:v>
                </c:pt>
                <c:pt idx="1">
                  <c:v>41000</c:v>
                </c:pt>
                <c:pt idx="2">
                  <c:v>41030</c:v>
                </c:pt>
                <c:pt idx="3">
                  <c:v>41061</c:v>
                </c:pt>
                <c:pt idx="4">
                  <c:v>41091</c:v>
                </c:pt>
                <c:pt idx="5">
                  <c:v>41122</c:v>
                </c:pt>
                <c:pt idx="6">
                  <c:v>41153</c:v>
                </c:pt>
                <c:pt idx="7">
                  <c:v>41183</c:v>
                </c:pt>
                <c:pt idx="8">
                  <c:v>41214</c:v>
                </c:pt>
                <c:pt idx="9">
                  <c:v>41244</c:v>
                </c:pt>
                <c:pt idx="10">
                  <c:v>41275</c:v>
                </c:pt>
                <c:pt idx="11">
                  <c:v>41306</c:v>
                </c:pt>
                <c:pt idx="12">
                  <c:v>41334</c:v>
                </c:pt>
                <c:pt idx="13">
                  <c:v>41365</c:v>
                </c:pt>
                <c:pt idx="14">
                  <c:v>41395</c:v>
                </c:pt>
                <c:pt idx="15">
                  <c:v>41426</c:v>
                </c:pt>
                <c:pt idx="16">
                  <c:v>41456</c:v>
                </c:pt>
                <c:pt idx="17">
                  <c:v>41487</c:v>
                </c:pt>
                <c:pt idx="18">
                  <c:v>41518</c:v>
                </c:pt>
                <c:pt idx="19">
                  <c:v>41548</c:v>
                </c:pt>
                <c:pt idx="20">
                  <c:v>41579</c:v>
                </c:pt>
                <c:pt idx="21">
                  <c:v>41609</c:v>
                </c:pt>
                <c:pt idx="22">
                  <c:v>41640</c:v>
                </c:pt>
                <c:pt idx="23">
                  <c:v>41671</c:v>
                </c:pt>
                <c:pt idx="24">
                  <c:v>41699</c:v>
                </c:pt>
                <c:pt idx="25">
                  <c:v>41730</c:v>
                </c:pt>
                <c:pt idx="26">
                  <c:v>41760</c:v>
                </c:pt>
                <c:pt idx="27">
                  <c:v>41791</c:v>
                </c:pt>
                <c:pt idx="28">
                  <c:v>41821</c:v>
                </c:pt>
                <c:pt idx="29">
                  <c:v>41852</c:v>
                </c:pt>
                <c:pt idx="30">
                  <c:v>41883</c:v>
                </c:pt>
                <c:pt idx="31">
                  <c:v>41913</c:v>
                </c:pt>
                <c:pt idx="32">
                  <c:v>41944</c:v>
                </c:pt>
                <c:pt idx="33">
                  <c:v>41974</c:v>
                </c:pt>
                <c:pt idx="34">
                  <c:v>42005</c:v>
                </c:pt>
                <c:pt idx="35">
                  <c:v>42036</c:v>
                </c:pt>
                <c:pt idx="36">
                  <c:v>42064</c:v>
                </c:pt>
                <c:pt idx="37">
                  <c:v>42095</c:v>
                </c:pt>
                <c:pt idx="38">
                  <c:v>42125</c:v>
                </c:pt>
                <c:pt idx="39">
                  <c:v>42156</c:v>
                </c:pt>
                <c:pt idx="40">
                  <c:v>42186</c:v>
                </c:pt>
                <c:pt idx="41">
                  <c:v>42217</c:v>
                </c:pt>
                <c:pt idx="42">
                  <c:v>42248</c:v>
                </c:pt>
                <c:pt idx="43">
                  <c:v>42278</c:v>
                </c:pt>
                <c:pt idx="44">
                  <c:v>42309</c:v>
                </c:pt>
                <c:pt idx="45">
                  <c:v>42339</c:v>
                </c:pt>
                <c:pt idx="46">
                  <c:v>42370</c:v>
                </c:pt>
                <c:pt idx="47">
                  <c:v>42401</c:v>
                </c:pt>
                <c:pt idx="48">
                  <c:v>42430</c:v>
                </c:pt>
                <c:pt idx="49">
                  <c:v>42461</c:v>
                </c:pt>
                <c:pt idx="50">
                  <c:v>42491</c:v>
                </c:pt>
                <c:pt idx="51">
                  <c:v>42522</c:v>
                </c:pt>
                <c:pt idx="52">
                  <c:v>42552</c:v>
                </c:pt>
                <c:pt idx="53">
                  <c:v>42583</c:v>
                </c:pt>
                <c:pt idx="54">
                  <c:v>42614</c:v>
                </c:pt>
                <c:pt idx="55">
                  <c:v>42644</c:v>
                </c:pt>
                <c:pt idx="56">
                  <c:v>42675</c:v>
                </c:pt>
                <c:pt idx="57">
                  <c:v>42705</c:v>
                </c:pt>
                <c:pt idx="58">
                  <c:v>42736</c:v>
                </c:pt>
                <c:pt idx="59">
                  <c:v>42767</c:v>
                </c:pt>
                <c:pt idx="60">
                  <c:v>42795</c:v>
                </c:pt>
                <c:pt idx="61">
                  <c:v>42826</c:v>
                </c:pt>
                <c:pt idx="62">
                  <c:v>42856</c:v>
                </c:pt>
                <c:pt idx="63">
                  <c:v>42887</c:v>
                </c:pt>
                <c:pt idx="64">
                  <c:v>42917</c:v>
                </c:pt>
                <c:pt idx="65">
                  <c:v>42948</c:v>
                </c:pt>
                <c:pt idx="66">
                  <c:v>42979</c:v>
                </c:pt>
                <c:pt idx="67">
                  <c:v>43009</c:v>
                </c:pt>
                <c:pt idx="68">
                  <c:v>43040</c:v>
                </c:pt>
                <c:pt idx="69">
                  <c:v>43070</c:v>
                </c:pt>
                <c:pt idx="70">
                  <c:v>43101</c:v>
                </c:pt>
                <c:pt idx="71">
                  <c:v>43132</c:v>
                </c:pt>
                <c:pt idx="72">
                  <c:v>43160</c:v>
                </c:pt>
                <c:pt idx="73">
                  <c:v>43191</c:v>
                </c:pt>
                <c:pt idx="74">
                  <c:v>43221</c:v>
                </c:pt>
                <c:pt idx="75">
                  <c:v>43252</c:v>
                </c:pt>
                <c:pt idx="76">
                  <c:v>43282</c:v>
                </c:pt>
                <c:pt idx="77">
                  <c:v>43313</c:v>
                </c:pt>
                <c:pt idx="78">
                  <c:v>43344</c:v>
                </c:pt>
                <c:pt idx="79">
                  <c:v>43374</c:v>
                </c:pt>
                <c:pt idx="80">
                  <c:v>43405</c:v>
                </c:pt>
                <c:pt idx="81">
                  <c:v>43435</c:v>
                </c:pt>
                <c:pt idx="82">
                  <c:v>43466</c:v>
                </c:pt>
                <c:pt idx="83">
                  <c:v>43497</c:v>
                </c:pt>
                <c:pt idx="84">
                  <c:v>43525</c:v>
                </c:pt>
                <c:pt idx="85">
                  <c:v>43556</c:v>
                </c:pt>
                <c:pt idx="86">
                  <c:v>43586</c:v>
                </c:pt>
                <c:pt idx="87">
                  <c:v>43617</c:v>
                </c:pt>
                <c:pt idx="88">
                  <c:v>43647</c:v>
                </c:pt>
                <c:pt idx="89">
                  <c:v>43678</c:v>
                </c:pt>
                <c:pt idx="90">
                  <c:v>43709</c:v>
                </c:pt>
                <c:pt idx="91">
                  <c:v>43739</c:v>
                </c:pt>
                <c:pt idx="92">
                  <c:v>43770</c:v>
                </c:pt>
                <c:pt idx="93">
                  <c:v>43800</c:v>
                </c:pt>
                <c:pt idx="94">
                  <c:v>43831</c:v>
                </c:pt>
                <c:pt idx="95">
                  <c:v>43862</c:v>
                </c:pt>
              </c:numCache>
            </c:numRef>
          </c:cat>
          <c:val>
            <c:numRef>
              <c:f>'Estatistica descritiva'!$C$2:$C$97</c:f>
              <c:numCache>
                <c:formatCode>#,##0.0</c:formatCode>
                <c:ptCount val="96"/>
                <c:pt idx="0">
                  <c:v>7.9</c:v>
                </c:pt>
                <c:pt idx="1">
                  <c:v>7.7</c:v>
                </c:pt>
                <c:pt idx="2">
                  <c:v>7.6</c:v>
                </c:pt>
                <c:pt idx="3">
                  <c:v>7.5</c:v>
                </c:pt>
                <c:pt idx="4">
                  <c:v>7.4</c:v>
                </c:pt>
                <c:pt idx="5">
                  <c:v>7.3</c:v>
                </c:pt>
                <c:pt idx="6">
                  <c:v>7.1</c:v>
                </c:pt>
                <c:pt idx="7">
                  <c:v>6.9</c:v>
                </c:pt>
                <c:pt idx="8">
                  <c:v>6.8</c:v>
                </c:pt>
                <c:pt idx="9">
                  <c:v>6.9</c:v>
                </c:pt>
                <c:pt idx="10">
                  <c:v>7.2</c:v>
                </c:pt>
                <c:pt idx="11">
                  <c:v>7.7</c:v>
                </c:pt>
                <c:pt idx="12">
                  <c:v>8</c:v>
                </c:pt>
                <c:pt idx="13">
                  <c:v>7.8</c:v>
                </c:pt>
                <c:pt idx="14">
                  <c:v>7.6</c:v>
                </c:pt>
                <c:pt idx="15">
                  <c:v>7.4</c:v>
                </c:pt>
                <c:pt idx="16">
                  <c:v>7.3</c:v>
                </c:pt>
                <c:pt idx="17">
                  <c:v>7.1</c:v>
                </c:pt>
                <c:pt idx="18">
                  <c:v>6.9</c:v>
                </c:pt>
                <c:pt idx="19">
                  <c:v>6.7</c:v>
                </c:pt>
                <c:pt idx="20">
                  <c:v>6.5</c:v>
                </c:pt>
                <c:pt idx="21">
                  <c:v>6.2</c:v>
                </c:pt>
                <c:pt idx="22">
                  <c:v>6.4</c:v>
                </c:pt>
                <c:pt idx="23">
                  <c:v>6.7</c:v>
                </c:pt>
                <c:pt idx="24">
                  <c:v>7.2</c:v>
                </c:pt>
                <c:pt idx="25">
                  <c:v>7.1</c:v>
                </c:pt>
                <c:pt idx="26">
                  <c:v>7</c:v>
                </c:pt>
                <c:pt idx="27">
                  <c:v>6.8</c:v>
                </c:pt>
                <c:pt idx="28">
                  <c:v>6.9</c:v>
                </c:pt>
                <c:pt idx="29">
                  <c:v>6.9</c:v>
                </c:pt>
                <c:pt idx="30">
                  <c:v>6.8</c:v>
                </c:pt>
                <c:pt idx="31">
                  <c:v>6.6</c:v>
                </c:pt>
                <c:pt idx="32">
                  <c:v>6.5</c:v>
                </c:pt>
                <c:pt idx="33">
                  <c:v>6.5</c:v>
                </c:pt>
                <c:pt idx="34">
                  <c:v>6.8</c:v>
                </c:pt>
                <c:pt idx="35">
                  <c:v>7.4</c:v>
                </c:pt>
                <c:pt idx="36">
                  <c:v>7.9</c:v>
                </c:pt>
                <c:pt idx="37">
                  <c:v>8</c:v>
                </c:pt>
                <c:pt idx="38">
                  <c:v>8.1</c:v>
                </c:pt>
                <c:pt idx="39">
                  <c:v>8.3000000000000007</c:v>
                </c:pt>
                <c:pt idx="40">
                  <c:v>8.5</c:v>
                </c:pt>
                <c:pt idx="41">
                  <c:v>8.6999999999999993</c:v>
                </c:pt>
                <c:pt idx="42">
                  <c:v>8.9</c:v>
                </c:pt>
                <c:pt idx="43">
                  <c:v>8.9</c:v>
                </c:pt>
                <c:pt idx="44">
                  <c:v>9</c:v>
                </c:pt>
                <c:pt idx="45">
                  <c:v>8.9</c:v>
                </c:pt>
                <c:pt idx="46">
                  <c:v>9.5</c:v>
                </c:pt>
                <c:pt idx="47">
                  <c:v>10.199999999999999</c:v>
                </c:pt>
                <c:pt idx="48">
                  <c:v>10.9</c:v>
                </c:pt>
                <c:pt idx="49">
                  <c:v>11.2</c:v>
                </c:pt>
                <c:pt idx="50">
                  <c:v>11.2</c:v>
                </c:pt>
                <c:pt idx="51">
                  <c:v>11.3</c:v>
                </c:pt>
                <c:pt idx="52">
                  <c:v>11.6</c:v>
                </c:pt>
                <c:pt idx="53">
                  <c:v>11.8</c:v>
                </c:pt>
                <c:pt idx="54">
                  <c:v>11.8</c:v>
                </c:pt>
                <c:pt idx="55">
                  <c:v>11.8</c:v>
                </c:pt>
                <c:pt idx="56">
                  <c:v>11.8</c:v>
                </c:pt>
                <c:pt idx="57">
                  <c:v>12</c:v>
                </c:pt>
                <c:pt idx="58">
                  <c:v>12.6</c:v>
                </c:pt>
                <c:pt idx="59">
                  <c:v>13.2</c:v>
                </c:pt>
                <c:pt idx="60">
                  <c:v>13.7</c:v>
                </c:pt>
                <c:pt idx="61">
                  <c:v>13.6</c:v>
                </c:pt>
                <c:pt idx="62">
                  <c:v>13.3</c:v>
                </c:pt>
                <c:pt idx="63">
                  <c:v>13</c:v>
                </c:pt>
                <c:pt idx="64">
                  <c:v>12.8</c:v>
                </c:pt>
                <c:pt idx="65">
                  <c:v>12.6</c:v>
                </c:pt>
                <c:pt idx="66">
                  <c:v>12.4</c:v>
                </c:pt>
                <c:pt idx="67">
                  <c:v>12.2</c:v>
                </c:pt>
                <c:pt idx="68">
                  <c:v>12</c:v>
                </c:pt>
                <c:pt idx="69">
                  <c:v>11.8</c:v>
                </c:pt>
                <c:pt idx="70">
                  <c:v>12.2</c:v>
                </c:pt>
                <c:pt idx="71">
                  <c:v>12.6</c:v>
                </c:pt>
                <c:pt idx="72">
                  <c:v>13.1</c:v>
                </c:pt>
                <c:pt idx="73">
                  <c:v>12.9</c:v>
                </c:pt>
                <c:pt idx="74">
                  <c:v>12.7</c:v>
                </c:pt>
                <c:pt idx="75">
                  <c:v>12.4</c:v>
                </c:pt>
                <c:pt idx="76">
                  <c:v>12.3</c:v>
                </c:pt>
                <c:pt idx="77">
                  <c:v>12.1</c:v>
                </c:pt>
                <c:pt idx="78">
                  <c:v>11.9</c:v>
                </c:pt>
                <c:pt idx="79">
                  <c:v>11.7</c:v>
                </c:pt>
                <c:pt idx="80">
                  <c:v>11.6</c:v>
                </c:pt>
                <c:pt idx="81">
                  <c:v>11.6</c:v>
                </c:pt>
                <c:pt idx="82">
                  <c:v>12</c:v>
                </c:pt>
                <c:pt idx="83">
                  <c:v>12.4</c:v>
                </c:pt>
                <c:pt idx="84">
                  <c:v>12.7</c:v>
                </c:pt>
                <c:pt idx="85">
                  <c:v>12.5</c:v>
                </c:pt>
                <c:pt idx="86">
                  <c:v>12.3</c:v>
                </c:pt>
                <c:pt idx="87">
                  <c:v>12</c:v>
                </c:pt>
                <c:pt idx="88">
                  <c:v>11.8</c:v>
                </c:pt>
                <c:pt idx="89">
                  <c:v>11.8</c:v>
                </c:pt>
                <c:pt idx="90">
                  <c:v>11.8</c:v>
                </c:pt>
                <c:pt idx="91">
                  <c:v>11.6</c:v>
                </c:pt>
                <c:pt idx="92">
                  <c:v>11.2</c:v>
                </c:pt>
                <c:pt idx="93">
                  <c:v>11</c:v>
                </c:pt>
                <c:pt idx="94">
                  <c:v>11.2</c:v>
                </c:pt>
                <c:pt idx="95">
                  <c:v>11.6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4BE-4F70-B52E-221BAC01C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251840"/>
        <c:axId val="330896208"/>
      </c:lineChart>
      <c:dateAx>
        <c:axId val="3282518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0896208"/>
        <c:crosses val="autoZero"/>
        <c:auto val="1"/>
        <c:lblOffset val="100"/>
        <c:baseTimeUnit val="months"/>
      </c:dateAx>
      <c:valAx>
        <c:axId val="33089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825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Desocupação (%) - </a:t>
            </a:r>
            <a:r>
              <a:rPr lang="en-US" b="1"/>
              <a:t>GRÁFICO</a:t>
            </a:r>
            <a:r>
              <a:rPr lang="en-US" b="1" baseline="0"/>
              <a:t> DE DISPERSÃO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'Estatistica descritiva'!$C$1</c:f>
              <c:strCache>
                <c:ptCount val="1"/>
                <c:pt idx="0">
                  <c:v>Desocupação (%)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0980182034002549E-2"/>
                  <c:y val="4.33192323300081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'Estatistica descritiva'!$B$2:$B$97</c:f>
              <c:numCache>
                <c:formatCode>#,##0.00</c:formatCode>
                <c:ptCount val="96"/>
                <c:pt idx="0">
                  <c:v>5.2399926989787238</c:v>
                </c:pt>
                <c:pt idx="1">
                  <c:v>5.1042261111959419</c:v>
                </c:pt>
                <c:pt idx="2">
                  <c:v>4.9891523093423373</c:v>
                </c:pt>
                <c:pt idx="3">
                  <c:v>4.9157699762254925</c:v>
                </c:pt>
                <c:pt idx="4">
                  <c:v>5.198590043054363</c:v>
                </c:pt>
                <c:pt idx="5">
                  <c:v>5.2405143591021996</c:v>
                </c:pt>
                <c:pt idx="6">
                  <c:v>5.2823886312037382</c:v>
                </c:pt>
                <c:pt idx="7">
                  <c:v>5.4501192115182784</c:v>
                </c:pt>
                <c:pt idx="8">
                  <c:v>5.5340429036881966</c:v>
                </c:pt>
                <c:pt idx="9">
                  <c:v>5.8385689976391042</c:v>
                </c:pt>
                <c:pt idx="10">
                  <c:v>6.1543165185151461</c:v>
                </c:pt>
                <c:pt idx="11">
                  <c:v>6.3128346616487807</c:v>
                </c:pt>
                <c:pt idx="12">
                  <c:v>6.5886687801203436</c:v>
                </c:pt>
                <c:pt idx="13">
                  <c:v>6.4933490246532166</c:v>
                </c:pt>
                <c:pt idx="14">
                  <c:v>6.5039601594703234</c:v>
                </c:pt>
                <c:pt idx="15">
                  <c:v>6.6955140446492312</c:v>
                </c:pt>
                <c:pt idx="16">
                  <c:v>6.2705592938988364</c:v>
                </c:pt>
                <c:pt idx="17">
                  <c:v>6.0906370244041774</c:v>
                </c:pt>
                <c:pt idx="18">
                  <c:v>5.8585604593711649</c:v>
                </c:pt>
                <c:pt idx="19">
                  <c:v>5.8375129277160376</c:v>
                </c:pt>
                <c:pt idx="20">
                  <c:v>5.7743891625503752</c:v>
                </c:pt>
                <c:pt idx="21">
                  <c:v>5.9108180800137911</c:v>
                </c:pt>
                <c:pt idx="22">
                  <c:v>5.5852940506185611</c:v>
                </c:pt>
                <c:pt idx="23">
                  <c:v>5.6797540552363524</c:v>
                </c:pt>
                <c:pt idx="24">
                  <c:v>6.1530882776396734</c:v>
                </c:pt>
                <c:pt idx="25">
                  <c:v>6.279775205469762</c:v>
                </c:pt>
                <c:pt idx="26">
                  <c:v>6.3750743961491718</c:v>
                </c:pt>
                <c:pt idx="27">
                  <c:v>6.5236132991559836</c:v>
                </c:pt>
                <c:pt idx="28">
                  <c:v>6.50231496599607</c:v>
                </c:pt>
                <c:pt idx="29">
                  <c:v>6.5129396981355558</c:v>
                </c:pt>
                <c:pt idx="30">
                  <c:v>6.7464508763476871</c:v>
                </c:pt>
                <c:pt idx="31">
                  <c:v>6.5872387093848461</c:v>
                </c:pt>
                <c:pt idx="32">
                  <c:v>6.555434281681638</c:v>
                </c:pt>
                <c:pt idx="33">
                  <c:v>6.4076165963919518</c:v>
                </c:pt>
                <c:pt idx="34">
                  <c:v>7.1378130703005693</c:v>
                </c:pt>
                <c:pt idx="35">
                  <c:v>7.7017522988958476</c:v>
                </c:pt>
                <c:pt idx="36">
                  <c:v>8.1286320147059943</c:v>
                </c:pt>
                <c:pt idx="37">
                  <c:v>8.1715956114139168</c:v>
                </c:pt>
                <c:pt idx="38">
                  <c:v>8.4730892085789442</c:v>
                </c:pt>
                <c:pt idx="39">
                  <c:v>8.8944488180545012</c:v>
                </c:pt>
                <c:pt idx="40">
                  <c:v>9.5586385368727775</c:v>
                </c:pt>
                <c:pt idx="41">
                  <c:v>9.5258529093804398</c:v>
                </c:pt>
                <c:pt idx="42">
                  <c:v>9.4931813812181289</c:v>
                </c:pt>
                <c:pt idx="43">
                  <c:v>9.9293223148218637</c:v>
                </c:pt>
                <c:pt idx="44">
                  <c:v>10.476179952444076</c:v>
                </c:pt>
                <c:pt idx="45">
                  <c:v>10.673497995621762</c:v>
                </c:pt>
                <c:pt idx="46">
                  <c:v>10.706293382226505</c:v>
                </c:pt>
                <c:pt idx="47">
                  <c:v>10.356303124547072</c:v>
                </c:pt>
                <c:pt idx="48">
                  <c:v>9.3869277812698151</c:v>
                </c:pt>
                <c:pt idx="49">
                  <c:v>9.2783120253555609</c:v>
                </c:pt>
                <c:pt idx="50">
                  <c:v>9.3217022624114243</c:v>
                </c:pt>
                <c:pt idx="51">
                  <c:v>8.8444570099512898</c:v>
                </c:pt>
                <c:pt idx="52">
                  <c:v>8.7362832303747204</c:v>
                </c:pt>
                <c:pt idx="53">
                  <c:v>8.9749779251530484</c:v>
                </c:pt>
                <c:pt idx="54">
                  <c:v>8.4763854261917118</c:v>
                </c:pt>
                <c:pt idx="55">
                  <c:v>7.8738583895058278</c:v>
                </c:pt>
                <c:pt idx="56">
                  <c:v>6.9874580087189164</c:v>
                </c:pt>
                <c:pt idx="57">
                  <c:v>6.2880550542244951</c:v>
                </c:pt>
                <c:pt idx="58">
                  <c:v>5.3539544420169616</c:v>
                </c:pt>
                <c:pt idx="59">
                  <c:v>4.7587933515120362</c:v>
                </c:pt>
                <c:pt idx="60">
                  <c:v>4.5710348848858384</c:v>
                </c:pt>
                <c:pt idx="61">
                  <c:v>4.0825308952635586</c:v>
                </c:pt>
                <c:pt idx="62">
                  <c:v>3.5971291337952627</c:v>
                </c:pt>
                <c:pt idx="63">
                  <c:v>2.9983614716367679</c:v>
                </c:pt>
                <c:pt idx="64">
                  <c:v>2.7114579577881992</c:v>
                </c:pt>
                <c:pt idx="65">
                  <c:v>2.455804189474331</c:v>
                </c:pt>
                <c:pt idx="66">
                  <c:v>2.5377033135266736</c:v>
                </c:pt>
                <c:pt idx="67">
                  <c:v>2.7013381881543008</c:v>
                </c:pt>
                <c:pt idx="68">
                  <c:v>2.8038549960881287</c:v>
                </c:pt>
                <c:pt idx="69">
                  <c:v>2.9473499083458643</c:v>
                </c:pt>
                <c:pt idx="70">
                  <c:v>2.8550480405260759</c:v>
                </c:pt>
                <c:pt idx="71">
                  <c:v>2.8447963662471709</c:v>
                </c:pt>
                <c:pt idx="72">
                  <c:v>2.6806550453633449</c:v>
                </c:pt>
                <c:pt idx="73">
                  <c:v>2.762684727844178</c:v>
                </c:pt>
                <c:pt idx="74">
                  <c:v>2.8548853222565507</c:v>
                </c:pt>
                <c:pt idx="75">
                  <c:v>4.3909560762924293</c:v>
                </c:pt>
                <c:pt idx="76">
                  <c:v>4.4846829921630249</c:v>
                </c:pt>
                <c:pt idx="77">
                  <c:v>4.192680684170158</c:v>
                </c:pt>
                <c:pt idx="78">
                  <c:v>4.5255646480172995</c:v>
                </c:pt>
                <c:pt idx="79">
                  <c:v>4.5567911660360672</c:v>
                </c:pt>
                <c:pt idx="80">
                  <c:v>4.0458934030588312</c:v>
                </c:pt>
                <c:pt idx="81">
                  <c:v>3.7454821218273926</c:v>
                </c:pt>
                <c:pt idx="82">
                  <c:v>3.7765157688874451</c:v>
                </c:pt>
                <c:pt idx="83">
                  <c:v>3.8903058081077635</c:v>
                </c:pt>
                <c:pt idx="84">
                  <c:v>4.575365272922971</c:v>
                </c:pt>
                <c:pt idx="85">
                  <c:v>4.9405755886834823</c:v>
                </c:pt>
                <c:pt idx="86">
                  <c:v>4.6583648774390696</c:v>
                </c:pt>
                <c:pt idx="87">
                  <c:v>3.3664138988019232</c:v>
                </c:pt>
                <c:pt idx="88">
                  <c:v>3.2221769014348478</c:v>
                </c:pt>
                <c:pt idx="89">
                  <c:v>3.4288072225267641</c:v>
                </c:pt>
                <c:pt idx="90">
                  <c:v>2.8935466755948935</c:v>
                </c:pt>
                <c:pt idx="91">
                  <c:v>2.5350325756799075</c:v>
                </c:pt>
                <c:pt idx="92">
                  <c:v>3.2748384024610777</c:v>
                </c:pt>
                <c:pt idx="93">
                  <c:v>4.3060399841131636</c:v>
                </c:pt>
                <c:pt idx="94">
                  <c:v>4.1916693262358473</c:v>
                </c:pt>
                <c:pt idx="95">
                  <c:v>4.0049273121093965</c:v>
                </c:pt>
              </c:numCache>
            </c:numRef>
          </c:xVal>
          <c:yVal>
            <c:numRef>
              <c:f>'Estatistica descritiva'!$C$2:$C$97</c:f>
              <c:numCache>
                <c:formatCode>#,##0.0</c:formatCode>
                <c:ptCount val="96"/>
                <c:pt idx="0">
                  <c:v>7.9</c:v>
                </c:pt>
                <c:pt idx="1">
                  <c:v>7.7</c:v>
                </c:pt>
                <c:pt idx="2">
                  <c:v>7.6</c:v>
                </c:pt>
                <c:pt idx="3">
                  <c:v>7.5</c:v>
                </c:pt>
                <c:pt idx="4">
                  <c:v>7.4</c:v>
                </c:pt>
                <c:pt idx="5">
                  <c:v>7.3</c:v>
                </c:pt>
                <c:pt idx="6">
                  <c:v>7.1</c:v>
                </c:pt>
                <c:pt idx="7">
                  <c:v>6.9</c:v>
                </c:pt>
                <c:pt idx="8">
                  <c:v>6.8</c:v>
                </c:pt>
                <c:pt idx="9">
                  <c:v>6.9</c:v>
                </c:pt>
                <c:pt idx="10">
                  <c:v>7.2</c:v>
                </c:pt>
                <c:pt idx="11">
                  <c:v>7.7</c:v>
                </c:pt>
                <c:pt idx="12">
                  <c:v>8</c:v>
                </c:pt>
                <c:pt idx="13">
                  <c:v>7.8</c:v>
                </c:pt>
                <c:pt idx="14">
                  <c:v>7.6</c:v>
                </c:pt>
                <c:pt idx="15">
                  <c:v>7.4</c:v>
                </c:pt>
                <c:pt idx="16">
                  <c:v>7.3</c:v>
                </c:pt>
                <c:pt idx="17">
                  <c:v>7.1</c:v>
                </c:pt>
                <c:pt idx="18">
                  <c:v>6.9</c:v>
                </c:pt>
                <c:pt idx="19">
                  <c:v>6.7</c:v>
                </c:pt>
                <c:pt idx="20">
                  <c:v>6.5</c:v>
                </c:pt>
                <c:pt idx="21">
                  <c:v>6.2</c:v>
                </c:pt>
                <c:pt idx="22">
                  <c:v>6.4</c:v>
                </c:pt>
                <c:pt idx="23">
                  <c:v>6.7</c:v>
                </c:pt>
                <c:pt idx="24">
                  <c:v>7.2</c:v>
                </c:pt>
                <c:pt idx="25">
                  <c:v>7.1</c:v>
                </c:pt>
                <c:pt idx="26">
                  <c:v>7</c:v>
                </c:pt>
                <c:pt idx="27">
                  <c:v>6.8</c:v>
                </c:pt>
                <c:pt idx="28">
                  <c:v>6.9</c:v>
                </c:pt>
                <c:pt idx="29">
                  <c:v>6.9</c:v>
                </c:pt>
                <c:pt idx="30">
                  <c:v>6.8</c:v>
                </c:pt>
                <c:pt idx="31">
                  <c:v>6.6</c:v>
                </c:pt>
                <c:pt idx="32">
                  <c:v>6.5</c:v>
                </c:pt>
                <c:pt idx="33">
                  <c:v>6.5</c:v>
                </c:pt>
                <c:pt idx="34">
                  <c:v>6.8</c:v>
                </c:pt>
                <c:pt idx="35">
                  <c:v>7.4</c:v>
                </c:pt>
                <c:pt idx="36">
                  <c:v>7.9</c:v>
                </c:pt>
                <c:pt idx="37">
                  <c:v>8</c:v>
                </c:pt>
                <c:pt idx="38">
                  <c:v>8.1</c:v>
                </c:pt>
                <c:pt idx="39">
                  <c:v>8.3000000000000007</c:v>
                </c:pt>
                <c:pt idx="40">
                  <c:v>8.5</c:v>
                </c:pt>
                <c:pt idx="41">
                  <c:v>8.6999999999999993</c:v>
                </c:pt>
                <c:pt idx="42">
                  <c:v>8.9</c:v>
                </c:pt>
                <c:pt idx="43">
                  <c:v>8.9</c:v>
                </c:pt>
                <c:pt idx="44">
                  <c:v>9</c:v>
                </c:pt>
                <c:pt idx="45">
                  <c:v>8.9</c:v>
                </c:pt>
                <c:pt idx="46">
                  <c:v>9.5</c:v>
                </c:pt>
                <c:pt idx="47">
                  <c:v>10.199999999999999</c:v>
                </c:pt>
                <c:pt idx="48">
                  <c:v>10.9</c:v>
                </c:pt>
                <c:pt idx="49">
                  <c:v>11.2</c:v>
                </c:pt>
                <c:pt idx="50">
                  <c:v>11.2</c:v>
                </c:pt>
                <c:pt idx="51">
                  <c:v>11.3</c:v>
                </c:pt>
                <c:pt idx="52">
                  <c:v>11.6</c:v>
                </c:pt>
                <c:pt idx="53">
                  <c:v>11.8</c:v>
                </c:pt>
                <c:pt idx="54">
                  <c:v>11.8</c:v>
                </c:pt>
                <c:pt idx="55">
                  <c:v>11.8</c:v>
                </c:pt>
                <c:pt idx="56">
                  <c:v>11.8</c:v>
                </c:pt>
                <c:pt idx="57">
                  <c:v>12</c:v>
                </c:pt>
                <c:pt idx="58">
                  <c:v>12.6</c:v>
                </c:pt>
                <c:pt idx="59">
                  <c:v>13.2</c:v>
                </c:pt>
                <c:pt idx="60">
                  <c:v>13.7</c:v>
                </c:pt>
                <c:pt idx="61">
                  <c:v>13.6</c:v>
                </c:pt>
                <c:pt idx="62">
                  <c:v>13.3</c:v>
                </c:pt>
                <c:pt idx="63">
                  <c:v>13</c:v>
                </c:pt>
                <c:pt idx="64">
                  <c:v>12.8</c:v>
                </c:pt>
                <c:pt idx="65">
                  <c:v>12.6</c:v>
                </c:pt>
                <c:pt idx="66">
                  <c:v>12.4</c:v>
                </c:pt>
                <c:pt idx="67">
                  <c:v>12.2</c:v>
                </c:pt>
                <c:pt idx="68">
                  <c:v>12</c:v>
                </c:pt>
                <c:pt idx="69">
                  <c:v>11.8</c:v>
                </c:pt>
                <c:pt idx="70">
                  <c:v>12.2</c:v>
                </c:pt>
                <c:pt idx="71">
                  <c:v>12.6</c:v>
                </c:pt>
                <c:pt idx="72">
                  <c:v>13.1</c:v>
                </c:pt>
                <c:pt idx="73">
                  <c:v>12.9</c:v>
                </c:pt>
                <c:pt idx="74">
                  <c:v>12.7</c:v>
                </c:pt>
                <c:pt idx="75">
                  <c:v>12.4</c:v>
                </c:pt>
                <c:pt idx="76">
                  <c:v>12.3</c:v>
                </c:pt>
                <c:pt idx="77">
                  <c:v>12.1</c:v>
                </c:pt>
                <c:pt idx="78">
                  <c:v>11.9</c:v>
                </c:pt>
                <c:pt idx="79">
                  <c:v>11.7</c:v>
                </c:pt>
                <c:pt idx="80">
                  <c:v>11.6</c:v>
                </c:pt>
                <c:pt idx="81">
                  <c:v>11.6</c:v>
                </c:pt>
                <c:pt idx="82">
                  <c:v>12</c:v>
                </c:pt>
                <c:pt idx="83">
                  <c:v>12.4</c:v>
                </c:pt>
                <c:pt idx="84">
                  <c:v>12.7</c:v>
                </c:pt>
                <c:pt idx="85">
                  <c:v>12.5</c:v>
                </c:pt>
                <c:pt idx="86">
                  <c:v>12.3</c:v>
                </c:pt>
                <c:pt idx="87">
                  <c:v>12</c:v>
                </c:pt>
                <c:pt idx="88">
                  <c:v>11.8</c:v>
                </c:pt>
                <c:pt idx="89">
                  <c:v>11.8</c:v>
                </c:pt>
                <c:pt idx="90">
                  <c:v>11.8</c:v>
                </c:pt>
                <c:pt idx="91">
                  <c:v>11.6</c:v>
                </c:pt>
                <c:pt idx="92">
                  <c:v>11.2</c:v>
                </c:pt>
                <c:pt idx="93">
                  <c:v>11</c:v>
                </c:pt>
                <c:pt idx="94">
                  <c:v>11.2</c:v>
                </c:pt>
                <c:pt idx="95">
                  <c:v>11.6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E69-4F42-9E8C-E3AAB4883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027704"/>
        <c:axId val="331078640"/>
      </c:scatterChart>
      <c:valAx>
        <c:axId val="328027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Inflação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1078640"/>
        <c:crosses val="autoZero"/>
        <c:crossBetween val="midCat"/>
      </c:valAx>
      <c:valAx>
        <c:axId val="33107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Desocupação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8027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'Estatistica descritiva'!$C$1</c:f>
              <c:strCache>
                <c:ptCount val="1"/>
                <c:pt idx="0">
                  <c:v>Desocupação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  <a:headEnd type="oval"/>
              <a:tailEnd type="stealth" w="lg" len="lg"/>
            </a:ln>
            <a:effectLst/>
          </c:spPr>
          <c:marker>
            <c:symbol val="none"/>
          </c:marker>
          <c:xVal>
            <c:numRef>
              <c:f>'Estatistica descritiva'!$B$2:$B$97</c:f>
              <c:numCache>
                <c:formatCode>#,##0.00</c:formatCode>
                <c:ptCount val="96"/>
                <c:pt idx="0">
                  <c:v>5.2399926989787238</c:v>
                </c:pt>
                <c:pt idx="1">
                  <c:v>5.1042261111959419</c:v>
                </c:pt>
                <c:pt idx="2">
                  <c:v>4.9891523093423373</c:v>
                </c:pt>
                <c:pt idx="3">
                  <c:v>4.9157699762254925</c:v>
                </c:pt>
                <c:pt idx="4">
                  <c:v>5.198590043054363</c:v>
                </c:pt>
                <c:pt idx="5">
                  <c:v>5.2405143591021996</c:v>
                </c:pt>
                <c:pt idx="6">
                  <c:v>5.2823886312037382</c:v>
                </c:pt>
                <c:pt idx="7">
                  <c:v>5.4501192115182784</c:v>
                </c:pt>
                <c:pt idx="8">
                  <c:v>5.5340429036881966</c:v>
                </c:pt>
                <c:pt idx="9">
                  <c:v>5.8385689976391042</c:v>
                </c:pt>
                <c:pt idx="10">
                  <c:v>6.1543165185151461</c:v>
                </c:pt>
                <c:pt idx="11">
                  <c:v>6.3128346616487807</c:v>
                </c:pt>
                <c:pt idx="12">
                  <c:v>6.5886687801203436</c:v>
                </c:pt>
                <c:pt idx="13">
                  <c:v>6.4933490246532166</c:v>
                </c:pt>
                <c:pt idx="14">
                  <c:v>6.5039601594703234</c:v>
                </c:pt>
                <c:pt idx="15">
                  <c:v>6.6955140446492312</c:v>
                </c:pt>
                <c:pt idx="16">
                  <c:v>6.2705592938988364</c:v>
                </c:pt>
                <c:pt idx="17">
                  <c:v>6.0906370244041774</c:v>
                </c:pt>
                <c:pt idx="18">
                  <c:v>5.8585604593711649</c:v>
                </c:pt>
                <c:pt idx="19">
                  <c:v>5.8375129277160376</c:v>
                </c:pt>
                <c:pt idx="20">
                  <c:v>5.7743891625503752</c:v>
                </c:pt>
                <c:pt idx="21">
                  <c:v>5.9108180800137911</c:v>
                </c:pt>
                <c:pt idx="22">
                  <c:v>5.5852940506185611</c:v>
                </c:pt>
                <c:pt idx="23">
                  <c:v>5.6797540552363524</c:v>
                </c:pt>
                <c:pt idx="24">
                  <c:v>6.1530882776396734</c:v>
                </c:pt>
                <c:pt idx="25">
                  <c:v>6.279775205469762</c:v>
                </c:pt>
                <c:pt idx="26">
                  <c:v>6.3750743961491718</c:v>
                </c:pt>
                <c:pt idx="27">
                  <c:v>6.5236132991559836</c:v>
                </c:pt>
                <c:pt idx="28">
                  <c:v>6.50231496599607</c:v>
                </c:pt>
                <c:pt idx="29">
                  <c:v>6.5129396981355558</c:v>
                </c:pt>
                <c:pt idx="30">
                  <c:v>6.7464508763476871</c:v>
                </c:pt>
                <c:pt idx="31">
                  <c:v>6.5872387093848461</c:v>
                </c:pt>
                <c:pt idx="32">
                  <c:v>6.555434281681638</c:v>
                </c:pt>
                <c:pt idx="33">
                  <c:v>6.4076165963919518</c:v>
                </c:pt>
                <c:pt idx="34">
                  <c:v>7.1378130703005693</c:v>
                </c:pt>
                <c:pt idx="35">
                  <c:v>7.7017522988958476</c:v>
                </c:pt>
                <c:pt idx="36">
                  <c:v>8.1286320147059943</c:v>
                </c:pt>
                <c:pt idx="37">
                  <c:v>8.1715956114139168</c:v>
                </c:pt>
                <c:pt idx="38">
                  <c:v>8.4730892085789442</c:v>
                </c:pt>
                <c:pt idx="39">
                  <c:v>8.8944488180545012</c:v>
                </c:pt>
                <c:pt idx="40">
                  <c:v>9.5586385368727775</c:v>
                </c:pt>
                <c:pt idx="41">
                  <c:v>9.5258529093804398</c:v>
                </c:pt>
                <c:pt idx="42">
                  <c:v>9.4931813812181289</c:v>
                </c:pt>
                <c:pt idx="43">
                  <c:v>9.9293223148218637</c:v>
                </c:pt>
                <c:pt idx="44">
                  <c:v>10.476179952444076</c:v>
                </c:pt>
                <c:pt idx="45">
                  <c:v>10.673497995621762</c:v>
                </c:pt>
                <c:pt idx="46">
                  <c:v>10.706293382226505</c:v>
                </c:pt>
                <c:pt idx="47">
                  <c:v>10.356303124547072</c:v>
                </c:pt>
                <c:pt idx="48">
                  <c:v>9.3869277812698151</c:v>
                </c:pt>
                <c:pt idx="49">
                  <c:v>9.2783120253555609</c:v>
                </c:pt>
                <c:pt idx="50">
                  <c:v>9.3217022624114243</c:v>
                </c:pt>
                <c:pt idx="51">
                  <c:v>8.8444570099512898</c:v>
                </c:pt>
                <c:pt idx="52">
                  <c:v>8.7362832303747204</c:v>
                </c:pt>
                <c:pt idx="53">
                  <c:v>8.9749779251530484</c:v>
                </c:pt>
                <c:pt idx="54">
                  <c:v>8.4763854261917118</c:v>
                </c:pt>
                <c:pt idx="55">
                  <c:v>7.8738583895058278</c:v>
                </c:pt>
                <c:pt idx="56">
                  <c:v>6.9874580087189164</c:v>
                </c:pt>
                <c:pt idx="57">
                  <c:v>6.2880550542244951</c:v>
                </c:pt>
                <c:pt idx="58">
                  <c:v>5.3539544420169616</c:v>
                </c:pt>
                <c:pt idx="59">
                  <c:v>4.7587933515120362</c:v>
                </c:pt>
                <c:pt idx="60">
                  <c:v>4.5710348848858384</c:v>
                </c:pt>
                <c:pt idx="61">
                  <c:v>4.0825308952635586</c:v>
                </c:pt>
                <c:pt idx="62">
                  <c:v>3.5971291337952627</c:v>
                </c:pt>
                <c:pt idx="63">
                  <c:v>2.9983614716367679</c:v>
                </c:pt>
                <c:pt idx="64">
                  <c:v>2.7114579577881992</c:v>
                </c:pt>
                <c:pt idx="65">
                  <c:v>2.455804189474331</c:v>
                </c:pt>
                <c:pt idx="66">
                  <c:v>2.5377033135266736</c:v>
                </c:pt>
                <c:pt idx="67">
                  <c:v>2.7013381881543008</c:v>
                </c:pt>
                <c:pt idx="68">
                  <c:v>2.8038549960881287</c:v>
                </c:pt>
                <c:pt idx="69">
                  <c:v>2.9473499083458643</c:v>
                </c:pt>
                <c:pt idx="70">
                  <c:v>2.8550480405260759</c:v>
                </c:pt>
                <c:pt idx="71">
                  <c:v>2.8447963662471709</c:v>
                </c:pt>
                <c:pt idx="72">
                  <c:v>2.6806550453633449</c:v>
                </c:pt>
                <c:pt idx="73">
                  <c:v>2.762684727844178</c:v>
                </c:pt>
                <c:pt idx="74">
                  <c:v>2.8548853222565507</c:v>
                </c:pt>
                <c:pt idx="75">
                  <c:v>4.3909560762924293</c:v>
                </c:pt>
                <c:pt idx="76">
                  <c:v>4.4846829921630249</c:v>
                </c:pt>
                <c:pt idx="77">
                  <c:v>4.192680684170158</c:v>
                </c:pt>
                <c:pt idx="78">
                  <c:v>4.5255646480172995</c:v>
                </c:pt>
                <c:pt idx="79">
                  <c:v>4.5567911660360672</c:v>
                </c:pt>
                <c:pt idx="80">
                  <c:v>4.0458934030588312</c:v>
                </c:pt>
                <c:pt idx="81">
                  <c:v>3.7454821218273926</c:v>
                </c:pt>
                <c:pt idx="82">
                  <c:v>3.7765157688874451</c:v>
                </c:pt>
                <c:pt idx="83">
                  <c:v>3.8903058081077635</c:v>
                </c:pt>
                <c:pt idx="84">
                  <c:v>4.575365272922971</c:v>
                </c:pt>
                <c:pt idx="85">
                  <c:v>4.9405755886834823</c:v>
                </c:pt>
                <c:pt idx="86">
                  <c:v>4.6583648774390696</c:v>
                </c:pt>
                <c:pt idx="87">
                  <c:v>3.3664138988019232</c:v>
                </c:pt>
                <c:pt idx="88">
                  <c:v>3.2221769014348478</c:v>
                </c:pt>
                <c:pt idx="89">
                  <c:v>3.4288072225267641</c:v>
                </c:pt>
                <c:pt idx="90">
                  <c:v>2.8935466755948935</c:v>
                </c:pt>
                <c:pt idx="91">
                  <c:v>2.5350325756799075</c:v>
                </c:pt>
                <c:pt idx="92">
                  <c:v>3.2748384024610777</c:v>
                </c:pt>
                <c:pt idx="93">
                  <c:v>4.3060399841131636</c:v>
                </c:pt>
                <c:pt idx="94">
                  <c:v>4.1916693262358473</c:v>
                </c:pt>
                <c:pt idx="95">
                  <c:v>4.0049273121093965</c:v>
                </c:pt>
              </c:numCache>
            </c:numRef>
          </c:xVal>
          <c:yVal>
            <c:numRef>
              <c:f>'Estatistica descritiva'!$C$2:$C$97</c:f>
              <c:numCache>
                <c:formatCode>#,##0.0</c:formatCode>
                <c:ptCount val="96"/>
                <c:pt idx="0">
                  <c:v>7.9</c:v>
                </c:pt>
                <c:pt idx="1">
                  <c:v>7.7</c:v>
                </c:pt>
                <c:pt idx="2">
                  <c:v>7.6</c:v>
                </c:pt>
                <c:pt idx="3">
                  <c:v>7.5</c:v>
                </c:pt>
                <c:pt idx="4">
                  <c:v>7.4</c:v>
                </c:pt>
                <c:pt idx="5">
                  <c:v>7.3</c:v>
                </c:pt>
                <c:pt idx="6">
                  <c:v>7.1</c:v>
                </c:pt>
                <c:pt idx="7">
                  <c:v>6.9</c:v>
                </c:pt>
                <c:pt idx="8">
                  <c:v>6.8</c:v>
                </c:pt>
                <c:pt idx="9">
                  <c:v>6.9</c:v>
                </c:pt>
                <c:pt idx="10">
                  <c:v>7.2</c:v>
                </c:pt>
                <c:pt idx="11">
                  <c:v>7.7</c:v>
                </c:pt>
                <c:pt idx="12">
                  <c:v>8</c:v>
                </c:pt>
                <c:pt idx="13">
                  <c:v>7.8</c:v>
                </c:pt>
                <c:pt idx="14">
                  <c:v>7.6</c:v>
                </c:pt>
                <c:pt idx="15">
                  <c:v>7.4</c:v>
                </c:pt>
                <c:pt idx="16">
                  <c:v>7.3</c:v>
                </c:pt>
                <c:pt idx="17">
                  <c:v>7.1</c:v>
                </c:pt>
                <c:pt idx="18">
                  <c:v>6.9</c:v>
                </c:pt>
                <c:pt idx="19">
                  <c:v>6.7</c:v>
                </c:pt>
                <c:pt idx="20">
                  <c:v>6.5</c:v>
                </c:pt>
                <c:pt idx="21">
                  <c:v>6.2</c:v>
                </c:pt>
                <c:pt idx="22">
                  <c:v>6.4</c:v>
                </c:pt>
                <c:pt idx="23">
                  <c:v>6.7</c:v>
                </c:pt>
                <c:pt idx="24">
                  <c:v>7.2</c:v>
                </c:pt>
                <c:pt idx="25">
                  <c:v>7.1</c:v>
                </c:pt>
                <c:pt idx="26">
                  <c:v>7</c:v>
                </c:pt>
                <c:pt idx="27">
                  <c:v>6.8</c:v>
                </c:pt>
                <c:pt idx="28">
                  <c:v>6.9</c:v>
                </c:pt>
                <c:pt idx="29">
                  <c:v>6.9</c:v>
                </c:pt>
                <c:pt idx="30">
                  <c:v>6.8</c:v>
                </c:pt>
                <c:pt idx="31">
                  <c:v>6.6</c:v>
                </c:pt>
                <c:pt idx="32">
                  <c:v>6.5</c:v>
                </c:pt>
                <c:pt idx="33">
                  <c:v>6.5</c:v>
                </c:pt>
                <c:pt idx="34">
                  <c:v>6.8</c:v>
                </c:pt>
                <c:pt idx="35">
                  <c:v>7.4</c:v>
                </c:pt>
                <c:pt idx="36">
                  <c:v>7.9</c:v>
                </c:pt>
                <c:pt idx="37">
                  <c:v>8</c:v>
                </c:pt>
                <c:pt idx="38">
                  <c:v>8.1</c:v>
                </c:pt>
                <c:pt idx="39">
                  <c:v>8.3000000000000007</c:v>
                </c:pt>
                <c:pt idx="40">
                  <c:v>8.5</c:v>
                </c:pt>
                <c:pt idx="41">
                  <c:v>8.6999999999999993</c:v>
                </c:pt>
                <c:pt idx="42">
                  <c:v>8.9</c:v>
                </c:pt>
                <c:pt idx="43">
                  <c:v>8.9</c:v>
                </c:pt>
                <c:pt idx="44">
                  <c:v>9</c:v>
                </c:pt>
                <c:pt idx="45">
                  <c:v>8.9</c:v>
                </c:pt>
                <c:pt idx="46">
                  <c:v>9.5</c:v>
                </c:pt>
                <c:pt idx="47">
                  <c:v>10.199999999999999</c:v>
                </c:pt>
                <c:pt idx="48">
                  <c:v>10.9</c:v>
                </c:pt>
                <c:pt idx="49">
                  <c:v>11.2</c:v>
                </c:pt>
                <c:pt idx="50">
                  <c:v>11.2</c:v>
                </c:pt>
                <c:pt idx="51">
                  <c:v>11.3</c:v>
                </c:pt>
                <c:pt idx="52">
                  <c:v>11.6</c:v>
                </c:pt>
                <c:pt idx="53">
                  <c:v>11.8</c:v>
                </c:pt>
                <c:pt idx="54">
                  <c:v>11.8</c:v>
                </c:pt>
                <c:pt idx="55">
                  <c:v>11.8</c:v>
                </c:pt>
                <c:pt idx="56">
                  <c:v>11.8</c:v>
                </c:pt>
                <c:pt idx="57">
                  <c:v>12</c:v>
                </c:pt>
                <c:pt idx="58">
                  <c:v>12.6</c:v>
                </c:pt>
                <c:pt idx="59">
                  <c:v>13.2</c:v>
                </c:pt>
                <c:pt idx="60">
                  <c:v>13.7</c:v>
                </c:pt>
                <c:pt idx="61">
                  <c:v>13.6</c:v>
                </c:pt>
                <c:pt idx="62">
                  <c:v>13.3</c:v>
                </c:pt>
                <c:pt idx="63">
                  <c:v>13</c:v>
                </c:pt>
                <c:pt idx="64">
                  <c:v>12.8</c:v>
                </c:pt>
                <c:pt idx="65">
                  <c:v>12.6</c:v>
                </c:pt>
                <c:pt idx="66">
                  <c:v>12.4</c:v>
                </c:pt>
                <c:pt idx="67">
                  <c:v>12.2</c:v>
                </c:pt>
                <c:pt idx="68">
                  <c:v>12</c:v>
                </c:pt>
                <c:pt idx="69">
                  <c:v>11.8</c:v>
                </c:pt>
                <c:pt idx="70">
                  <c:v>12.2</c:v>
                </c:pt>
                <c:pt idx="71">
                  <c:v>12.6</c:v>
                </c:pt>
                <c:pt idx="72">
                  <c:v>13.1</c:v>
                </c:pt>
                <c:pt idx="73">
                  <c:v>12.9</c:v>
                </c:pt>
                <c:pt idx="74">
                  <c:v>12.7</c:v>
                </c:pt>
                <c:pt idx="75">
                  <c:v>12.4</c:v>
                </c:pt>
                <c:pt idx="76">
                  <c:v>12.3</c:v>
                </c:pt>
                <c:pt idx="77">
                  <c:v>12.1</c:v>
                </c:pt>
                <c:pt idx="78">
                  <c:v>11.9</c:v>
                </c:pt>
                <c:pt idx="79">
                  <c:v>11.7</c:v>
                </c:pt>
                <c:pt idx="80">
                  <c:v>11.6</c:v>
                </c:pt>
                <c:pt idx="81">
                  <c:v>11.6</c:v>
                </c:pt>
                <c:pt idx="82">
                  <c:v>12</c:v>
                </c:pt>
                <c:pt idx="83">
                  <c:v>12.4</c:v>
                </c:pt>
                <c:pt idx="84">
                  <c:v>12.7</c:v>
                </c:pt>
                <c:pt idx="85">
                  <c:v>12.5</c:v>
                </c:pt>
                <c:pt idx="86">
                  <c:v>12.3</c:v>
                </c:pt>
                <c:pt idx="87">
                  <c:v>12</c:v>
                </c:pt>
                <c:pt idx="88">
                  <c:v>11.8</c:v>
                </c:pt>
                <c:pt idx="89">
                  <c:v>11.8</c:v>
                </c:pt>
                <c:pt idx="90">
                  <c:v>11.8</c:v>
                </c:pt>
                <c:pt idx="91">
                  <c:v>11.6</c:v>
                </c:pt>
                <c:pt idx="92">
                  <c:v>11.2</c:v>
                </c:pt>
                <c:pt idx="93">
                  <c:v>11</c:v>
                </c:pt>
                <c:pt idx="94">
                  <c:v>11.2</c:v>
                </c:pt>
                <c:pt idx="95">
                  <c:v>11.6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557-4115-B26F-541C57FEF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598024"/>
        <c:axId val="330596848"/>
      </c:scatterChart>
      <c:valAx>
        <c:axId val="330598024"/>
        <c:scaling>
          <c:orientation val="minMax"/>
          <c:max val="11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Inflação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0596848"/>
        <c:crosses val="autoZero"/>
        <c:crossBetween val="midCat"/>
      </c:valAx>
      <c:valAx>
        <c:axId val="330596848"/>
        <c:scaling>
          <c:orientation val="minMax"/>
          <c:max val="14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Desocupação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0598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Boxplot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6"/>
          <c:order val="0"/>
          <c:spPr>
            <a:noFill/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minus"/>
            <c:errValType val="percentage"/>
            <c:noEndCap val="0"/>
            <c:val val="1"/>
            <c:spPr>
              <a:noFill/>
              <a:ln w="19050">
                <a:solidFill>
                  <a:schemeClr val="tx1"/>
                </a:solidFill>
              </a:ln>
              <a:effectLst/>
            </c:spPr>
          </c:errBars>
          <c:val>
            <c:numRef>
              <c:f>Boxplot!$F$3</c:f>
              <c:numCache>
                <c:formatCode>0.00</c:formatCode>
                <c:ptCount val="1"/>
                <c:pt idx="0">
                  <c:v>2.455804189474331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DB4-420A-BA86-68322050D363}"/>
            </c:ext>
          </c:extLst>
        </c:ser>
        <c:ser>
          <c:idx val="0"/>
          <c:order val="1"/>
          <c:spPr>
            <a:noFill/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Boxplot!$F$2</c:f>
              <c:numCache>
                <c:formatCode>General</c:formatCode>
                <c:ptCount val="1"/>
              </c:numCache>
            </c:numRef>
          </c:cat>
          <c:val>
            <c:numRef>
              <c:f>Boxplot!$F$4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DB4-420A-BA86-68322050D363}"/>
            </c:ext>
          </c:extLst>
        </c:ser>
        <c:ser>
          <c:idx val="1"/>
          <c:order val="2"/>
          <c:spPr>
            <a:noFill/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minus"/>
            <c:errValType val="percentage"/>
            <c:noEndCap val="1"/>
            <c:val val="100"/>
            <c:spPr>
              <a:noFill/>
              <a:ln w="9525">
                <a:solidFill>
                  <a:schemeClr val="tx1"/>
                </a:solidFill>
              </a:ln>
              <a:effectLst/>
            </c:spPr>
          </c:errBars>
          <c:cat>
            <c:numRef>
              <c:f>Boxplot!$F$2</c:f>
              <c:numCache>
                <c:formatCode>General</c:formatCode>
                <c:ptCount val="1"/>
              </c:numCache>
            </c:numRef>
          </c:cat>
          <c:val>
            <c:numRef>
              <c:f>Boxplot!$F$5</c:f>
              <c:numCache>
                <c:formatCode>0.00</c:formatCode>
                <c:ptCount val="1"/>
                <c:pt idx="0">
                  <c:v>1.5992485866356825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DB4-420A-BA86-68322050D363}"/>
            </c:ext>
          </c:extLst>
        </c:ser>
        <c:ser>
          <c:idx val="2"/>
          <c:order val="3"/>
          <c:spPr>
            <a:solidFill>
              <a:schemeClr val="accent6">
                <a:lumMod val="60000"/>
                <a:lumOff val="40000"/>
              </a:schemeClr>
            </a:solidFill>
            <a:ln w="9525" cap="flat" cmpd="sng" algn="ctr">
              <a:solidFill>
                <a:schemeClr val="tx1"/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6350" cap="flat" cmpd="sng" algn="ctr">
                <a:solidFill>
                  <a:schemeClr val="tx1"/>
                </a:solidFill>
                <a:prstDash val="solid"/>
                <a:miter lim="8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9DB4-420A-BA86-68322050D3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Boxplot!$F$2</c:f>
              <c:numCache>
                <c:formatCode>General</c:formatCode>
                <c:ptCount val="1"/>
              </c:numCache>
            </c:numRef>
          </c:cat>
          <c:val>
            <c:numRef>
              <c:f>Boxplot!$F$6</c:f>
              <c:numCache>
                <c:formatCode>0.00</c:formatCode>
                <c:ptCount val="1"/>
                <c:pt idx="0">
                  <c:v>1.5774712768174428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DB4-420A-BA86-68322050D363}"/>
            </c:ext>
          </c:extLst>
        </c:ser>
        <c:ser>
          <c:idx val="3"/>
          <c:order val="4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tx1"/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Boxplot!$F$2</c:f>
              <c:numCache>
                <c:formatCode>General</c:formatCode>
                <c:ptCount val="1"/>
              </c:numCache>
            </c:numRef>
          </c:cat>
          <c:val>
            <c:numRef>
              <c:f>Boxplot!$F$7</c:f>
              <c:numCache>
                <c:formatCode>0.00</c:formatCode>
                <c:ptCount val="1"/>
                <c:pt idx="0">
                  <c:v>1.1011926154956164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9DB4-420A-BA86-68322050D363}"/>
            </c:ext>
          </c:extLst>
        </c:ser>
        <c:ser>
          <c:idx val="4"/>
          <c:order val="5"/>
          <c:spPr>
            <a:noFill/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9525">
                <a:solidFill>
                  <a:schemeClr val="tx1"/>
                </a:solidFill>
              </a:ln>
              <a:effectLst/>
            </c:spPr>
          </c:errBars>
          <c:cat>
            <c:numRef>
              <c:f>Boxplot!$F$2</c:f>
              <c:numCache>
                <c:formatCode>General</c:formatCode>
                <c:ptCount val="1"/>
              </c:numCache>
            </c:numRef>
          </c:cat>
          <c:val>
            <c:numRef>
              <c:f>Boxplot!$F$8</c:f>
              <c:numCache>
                <c:formatCode>0.00</c:formatCode>
                <c:ptCount val="1"/>
                <c:pt idx="0">
                  <c:v>3.9725767138034325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9DB4-420A-BA86-68322050D363}"/>
            </c:ext>
          </c:extLst>
        </c:ser>
        <c:ser>
          <c:idx val="5"/>
          <c:order val="6"/>
          <c:spPr>
            <a:noFill/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plus"/>
            <c:errValType val="percentage"/>
            <c:noEndCap val="0"/>
            <c:val val="1"/>
            <c:spPr>
              <a:noFill/>
              <a:ln w="19050">
                <a:solidFill>
                  <a:schemeClr val="tx1"/>
                </a:solidFill>
              </a:ln>
              <a:effectLst/>
            </c:spPr>
          </c:errBars>
          <c:val>
            <c:numRef>
              <c:f>Boxplot!$F$9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9DB4-420A-BA86-68322050D3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330596064"/>
        <c:axId val="330597632"/>
      </c:barChart>
      <c:lineChart>
        <c:grouping val="stacked"/>
        <c:varyColors val="0"/>
        <c:ser>
          <c:idx val="7"/>
          <c:order val="7"/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C000"/>
              </a:solidFill>
              <a:ln w="9525" cap="flat" cmpd="sng" algn="ctr">
                <a:solidFill>
                  <a:srgbClr val="C00000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Boxplot!$C$8</c:f>
              <c:numCache>
                <c:formatCode>0.00</c:formatCode>
                <c:ptCount val="1"/>
                <c:pt idx="0">
                  <c:v>5.7824178173405771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9DB4-420A-BA86-68322050D3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30596064"/>
        <c:axId val="330597632"/>
      </c:lineChart>
      <c:catAx>
        <c:axId val="330596064"/>
        <c:scaling>
          <c:orientation val="minMax"/>
        </c:scaling>
        <c:delete val="1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crossAx val="330597632"/>
        <c:crosses val="autoZero"/>
        <c:auto val="1"/>
        <c:lblAlgn val="ctr"/>
        <c:lblOffset val="100"/>
        <c:noMultiLvlLbl val="0"/>
      </c:catAx>
      <c:valAx>
        <c:axId val="33059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059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596053</xdr:colOff>
      <xdr:row>0</xdr:row>
      <xdr:rowOff>90237</xdr:rowOff>
    </xdr:from>
    <xdr:to>
      <xdr:col>18</xdr:col>
      <xdr:colOff>305805</xdr:colOff>
      <xdr:row>13</xdr:row>
      <xdr:rowOff>115304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9CC3D39C-E8D0-4A97-BA36-4E63FBC2FD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6" t="15748" r="6738" b="19375"/>
        <a:stretch/>
      </xdr:blipFill>
      <xdr:spPr bwMode="auto">
        <a:xfrm>
          <a:off x="9935566" y="90237"/>
          <a:ext cx="3830568" cy="2240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679466</xdr:colOff>
      <xdr:row>14</xdr:row>
      <xdr:rowOff>22617</xdr:rowOff>
    </xdr:from>
    <xdr:to>
      <xdr:col>9</xdr:col>
      <xdr:colOff>347077</xdr:colOff>
      <xdr:row>24</xdr:row>
      <xdr:rowOff>22617</xdr:rowOff>
    </xdr:to>
    <xdr:graphicFrame macro="">
      <xdr:nvGraphicFramePr>
        <xdr:cNvPr id="6" name="Gráfico 5">
          <a:extLst>
            <a:ext uri="{FF2B5EF4-FFF2-40B4-BE49-F238E27FC236}">
              <a16:creationId xmlns="" xmlns:a16="http://schemas.microsoft.com/office/drawing/2014/main" id="{4AD1AACD-950F-4EEA-A937-451F3F0C7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35</xdr:row>
      <xdr:rowOff>111672</xdr:rowOff>
    </xdr:from>
    <xdr:to>
      <xdr:col>10</xdr:col>
      <xdr:colOff>130629</xdr:colOff>
      <xdr:row>51</xdr:row>
      <xdr:rowOff>71509</xdr:rowOff>
    </xdr:to>
    <xdr:graphicFrame macro="">
      <xdr:nvGraphicFramePr>
        <xdr:cNvPr id="8" name="Gráfico 7">
          <a:extLst>
            <a:ext uri="{FF2B5EF4-FFF2-40B4-BE49-F238E27FC236}">
              <a16:creationId xmlns="" xmlns:a16="http://schemas.microsoft.com/office/drawing/2014/main" id="{98F48322-EDCE-4BDF-A6FB-2FCC3284B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15765</xdr:colOff>
      <xdr:row>52</xdr:row>
      <xdr:rowOff>65690</xdr:rowOff>
    </xdr:from>
    <xdr:to>
      <xdr:col>12</xdr:col>
      <xdr:colOff>24023</xdr:colOff>
      <xdr:row>72</xdr:row>
      <xdr:rowOff>76575</xdr:rowOff>
    </xdr:to>
    <xdr:graphicFrame macro="">
      <xdr:nvGraphicFramePr>
        <xdr:cNvPr id="10" name="Gráfico 9">
          <a:extLst>
            <a:ext uri="{FF2B5EF4-FFF2-40B4-BE49-F238E27FC236}">
              <a16:creationId xmlns="" xmlns:a16="http://schemas.microsoft.com/office/drawing/2014/main" id="{FA10FA41-60E6-4751-ACE1-5DEF3E96A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19707</xdr:colOff>
      <xdr:row>73</xdr:row>
      <xdr:rowOff>13137</xdr:rowOff>
    </xdr:from>
    <xdr:to>
      <xdr:col>12</xdr:col>
      <xdr:colOff>30593</xdr:colOff>
      <xdr:row>93</xdr:row>
      <xdr:rowOff>24023</xdr:rowOff>
    </xdr:to>
    <xdr:graphicFrame macro="">
      <xdr:nvGraphicFramePr>
        <xdr:cNvPr id="11" name="Gráfico 10">
          <a:extLst>
            <a:ext uri="{FF2B5EF4-FFF2-40B4-BE49-F238E27FC236}">
              <a16:creationId xmlns="" xmlns:a16="http://schemas.microsoft.com/office/drawing/2014/main" id="{A37C5592-9F4C-440B-BFFC-2970EC2C4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94</xdr:row>
      <xdr:rowOff>0</xdr:rowOff>
    </xdr:from>
    <xdr:to>
      <xdr:col>10</xdr:col>
      <xdr:colOff>185573</xdr:colOff>
      <xdr:row>114</xdr:row>
      <xdr:rowOff>54538</xdr:rowOff>
    </xdr:to>
    <xdr:graphicFrame macro="">
      <xdr:nvGraphicFramePr>
        <xdr:cNvPr id="9" name="Gráfico 8">
          <a:extLst>
            <a:ext uri="{FF2B5EF4-FFF2-40B4-BE49-F238E27FC236}">
              <a16:creationId xmlns="" xmlns:a16="http://schemas.microsoft.com/office/drawing/2014/main" id="{106F0FDF-2EEA-49B4-A595-0582FA542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0.28692</cdr:x>
      <cdr:y>0.16199</cdr:y>
    </cdr:from>
    <cdr:to>
      <cdr:x>0.65327</cdr:x>
      <cdr:y>0.68224</cdr:y>
    </cdr:to>
    <cdr:cxnSp macro="">
      <cdr:nvCxnSpPr>
        <cdr:cNvPr id="3" name="Conector reto 2">
          <a:extLst xmlns:a="http://schemas.openxmlformats.org/drawingml/2006/main">
            <a:ext uri="{FF2B5EF4-FFF2-40B4-BE49-F238E27FC236}">
              <a16:creationId xmlns="" xmlns:a16="http://schemas.microsoft.com/office/drawing/2014/main" id="{8226D98F-349F-407A-A318-C400D300A374}"/>
            </a:ext>
          </a:extLst>
        </cdr:cNvPr>
        <cdr:cNvCxnSpPr/>
      </cdr:nvCxnSpPr>
      <cdr:spPr>
        <a:xfrm xmlns:a="http://schemas.openxmlformats.org/drawingml/2006/main">
          <a:off x="1670958" y="566057"/>
          <a:ext cx="2133600" cy="1817914"/>
        </a:xfrm>
        <a:prstGeom xmlns:a="http://schemas.openxmlformats.org/drawingml/2006/main" prst="line">
          <a:avLst/>
        </a:prstGeom>
        <a:ln xmlns:a="http://schemas.openxmlformats.org/drawingml/2006/main" w="22225">
          <a:solidFill>
            <a:srgbClr val="C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466725</xdr:colOff>
      <xdr:row>15</xdr:row>
      <xdr:rowOff>28575</xdr:rowOff>
    </xdr:from>
    <xdr:to>
      <xdr:col>30</xdr:col>
      <xdr:colOff>456363</xdr:colOff>
      <xdr:row>41</xdr:row>
      <xdr:rowOff>180306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59625" y="3219450"/>
          <a:ext cx="6695238" cy="53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f/Desktop/Dropbox/Carreira/01_ESAMC/Aulas/2020S2/Estatistica3/AulasPraticas/Estatistica3_ModuloB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rcício 1 - Gini"/>
      <sheetName val="Curva de Pen"/>
      <sheetName val="Histograma - Método 1"/>
      <sheetName val="Histograma - Método 2"/>
      <sheetName val="Boxplot"/>
    </sheetNames>
    <sheetDataSet>
      <sheetData sheetId="0">
        <row r="4">
          <cell r="C4">
            <v>24.8</v>
          </cell>
        </row>
        <row r="5">
          <cell r="C5">
            <v>25.6</v>
          </cell>
        </row>
        <row r="6">
          <cell r="C6">
            <v>25.9</v>
          </cell>
        </row>
        <row r="7">
          <cell r="C7">
            <v>25.9</v>
          </cell>
        </row>
        <row r="8">
          <cell r="C8">
            <v>26.3</v>
          </cell>
        </row>
        <row r="9">
          <cell r="C9">
            <v>26.5</v>
          </cell>
        </row>
        <row r="10">
          <cell r="C10">
            <v>27</v>
          </cell>
        </row>
        <row r="11">
          <cell r="C11">
            <v>27.1</v>
          </cell>
        </row>
        <row r="12">
          <cell r="C12">
            <v>27.2</v>
          </cell>
        </row>
        <row r="13">
          <cell r="C13">
            <v>27.4</v>
          </cell>
        </row>
        <row r="14">
          <cell r="C14">
            <v>27.5</v>
          </cell>
        </row>
        <row r="15">
          <cell r="C15">
            <v>27.8</v>
          </cell>
        </row>
        <row r="16">
          <cell r="C16">
            <v>27.9</v>
          </cell>
        </row>
        <row r="17">
          <cell r="C17">
            <v>28.3</v>
          </cell>
        </row>
        <row r="18">
          <cell r="C18">
            <v>28.4</v>
          </cell>
        </row>
        <row r="19">
          <cell r="C19">
            <v>28.7</v>
          </cell>
        </row>
        <row r="20">
          <cell r="C20">
            <v>28.8</v>
          </cell>
        </row>
        <row r="21">
          <cell r="C21">
            <v>29.2</v>
          </cell>
        </row>
        <row r="22">
          <cell r="C22">
            <v>30.5</v>
          </cell>
        </row>
        <row r="23">
          <cell r="C23">
            <v>30.7</v>
          </cell>
        </row>
        <row r="24">
          <cell r="C24">
            <v>31.6</v>
          </cell>
        </row>
        <row r="25">
          <cell r="C25">
            <v>31.7</v>
          </cell>
        </row>
        <row r="26">
          <cell r="C26">
            <v>31.8</v>
          </cell>
        </row>
        <row r="27">
          <cell r="C27">
            <v>31.9</v>
          </cell>
        </row>
        <row r="28">
          <cell r="C28">
            <v>31.9</v>
          </cell>
        </row>
        <row r="29">
          <cell r="C29">
            <v>32.200000000000003</v>
          </cell>
        </row>
        <row r="30">
          <cell r="C30">
            <v>32.299999999999997</v>
          </cell>
        </row>
        <row r="31">
          <cell r="C31">
            <v>32.4</v>
          </cell>
        </row>
        <row r="32">
          <cell r="C32">
            <v>32.4</v>
          </cell>
        </row>
        <row r="33">
          <cell r="C33">
            <v>32.5</v>
          </cell>
        </row>
        <row r="34">
          <cell r="C34">
            <v>32.5</v>
          </cell>
        </row>
        <row r="35">
          <cell r="C35">
            <v>32.5</v>
          </cell>
        </row>
        <row r="36">
          <cell r="C36">
            <v>32.6</v>
          </cell>
        </row>
        <row r="37">
          <cell r="C37">
            <v>32.799999999999997</v>
          </cell>
        </row>
        <row r="38">
          <cell r="C38">
            <v>33.5</v>
          </cell>
        </row>
        <row r="39">
          <cell r="C39">
            <v>33.6</v>
          </cell>
        </row>
        <row r="40">
          <cell r="C40">
            <v>33.700000000000003</v>
          </cell>
        </row>
        <row r="41">
          <cell r="C41">
            <v>33.700000000000003</v>
          </cell>
        </row>
        <row r="42">
          <cell r="C42">
            <v>34</v>
          </cell>
        </row>
        <row r="43">
          <cell r="C43">
            <v>34.299999999999997</v>
          </cell>
        </row>
        <row r="44">
          <cell r="C44">
            <v>34.299999999999997</v>
          </cell>
        </row>
        <row r="45">
          <cell r="C45">
            <v>34.700000000000003</v>
          </cell>
        </row>
        <row r="46">
          <cell r="C46">
            <v>34.799999999999997</v>
          </cell>
        </row>
        <row r="47">
          <cell r="C47">
            <v>35</v>
          </cell>
        </row>
        <row r="48">
          <cell r="C48">
            <v>35.1</v>
          </cell>
        </row>
        <row r="49">
          <cell r="C49">
            <v>35.1</v>
          </cell>
        </row>
        <row r="50">
          <cell r="C50">
            <v>35.299999999999997</v>
          </cell>
        </row>
        <row r="51">
          <cell r="C51">
            <v>35.4</v>
          </cell>
        </row>
        <row r="52">
          <cell r="C52">
            <v>35.6</v>
          </cell>
        </row>
        <row r="53">
          <cell r="C53">
            <v>35.799999999999997</v>
          </cell>
        </row>
        <row r="54">
          <cell r="C54">
            <v>35.9</v>
          </cell>
        </row>
        <row r="55">
          <cell r="C55">
            <v>35.9</v>
          </cell>
        </row>
        <row r="56">
          <cell r="C56">
            <v>36</v>
          </cell>
        </row>
        <row r="57">
          <cell r="C57">
            <v>36.200000000000003</v>
          </cell>
        </row>
        <row r="58">
          <cell r="C58">
            <v>36.6</v>
          </cell>
        </row>
        <row r="59">
          <cell r="C59">
            <v>36.700000000000003</v>
          </cell>
        </row>
        <row r="60">
          <cell r="C60">
            <v>37.200000000000003</v>
          </cell>
        </row>
        <row r="61">
          <cell r="C61">
            <v>37.4</v>
          </cell>
        </row>
        <row r="62">
          <cell r="C62">
            <v>37.4</v>
          </cell>
        </row>
        <row r="63">
          <cell r="C63">
            <v>37.6</v>
          </cell>
        </row>
        <row r="64">
          <cell r="C64">
            <v>37.6</v>
          </cell>
        </row>
        <row r="65">
          <cell r="C65">
            <v>38</v>
          </cell>
        </row>
        <row r="66">
          <cell r="C66">
            <v>38.1</v>
          </cell>
        </row>
        <row r="67">
          <cell r="C67">
            <v>38.799999999999997</v>
          </cell>
        </row>
        <row r="68">
          <cell r="C68">
            <v>38.9</v>
          </cell>
        </row>
        <row r="69">
          <cell r="C69">
            <v>39</v>
          </cell>
        </row>
        <row r="70">
          <cell r="C70">
            <v>39.4</v>
          </cell>
        </row>
        <row r="71">
          <cell r="C71">
            <v>39.4</v>
          </cell>
        </row>
        <row r="72">
          <cell r="C72">
            <v>39.4</v>
          </cell>
        </row>
        <row r="73">
          <cell r="C73">
            <v>39.799999999999997</v>
          </cell>
        </row>
        <row r="74">
          <cell r="C74">
            <v>39.9</v>
          </cell>
        </row>
        <row r="75">
          <cell r="C75">
            <v>40.1</v>
          </cell>
        </row>
        <row r="76">
          <cell r="C76">
            <v>40.799999999999997</v>
          </cell>
        </row>
        <row r="77">
          <cell r="C77">
            <v>41</v>
          </cell>
        </row>
        <row r="78">
          <cell r="C78">
            <v>41.5</v>
          </cell>
        </row>
        <row r="79">
          <cell r="C79">
            <v>41.5</v>
          </cell>
        </row>
        <row r="80">
          <cell r="C80">
            <v>41.6</v>
          </cell>
        </row>
        <row r="81">
          <cell r="C81">
            <v>41.6</v>
          </cell>
        </row>
        <row r="82">
          <cell r="C82">
            <v>42</v>
          </cell>
        </row>
        <row r="83">
          <cell r="C83">
            <v>42.8</v>
          </cell>
        </row>
        <row r="84">
          <cell r="C84">
            <v>43.1</v>
          </cell>
        </row>
        <row r="85">
          <cell r="C85">
            <v>43.4</v>
          </cell>
        </row>
        <row r="86">
          <cell r="C86">
            <v>43.5</v>
          </cell>
        </row>
        <row r="87">
          <cell r="C87">
            <v>43.7</v>
          </cell>
        </row>
        <row r="88">
          <cell r="C88">
            <v>44.4</v>
          </cell>
        </row>
        <row r="89">
          <cell r="C89">
            <v>44.7</v>
          </cell>
        </row>
        <row r="90">
          <cell r="C90">
            <v>45.1</v>
          </cell>
        </row>
        <row r="91">
          <cell r="C91">
            <v>45.2</v>
          </cell>
        </row>
        <row r="92">
          <cell r="C92">
            <v>45.8</v>
          </cell>
        </row>
        <row r="93">
          <cell r="C93">
            <v>46.2</v>
          </cell>
        </row>
        <row r="94">
          <cell r="C94">
            <v>46.6</v>
          </cell>
        </row>
        <row r="95">
          <cell r="C95">
            <v>47.2</v>
          </cell>
        </row>
        <row r="96">
          <cell r="C96">
            <v>47.8</v>
          </cell>
        </row>
        <row r="97">
          <cell r="C97">
            <v>48.3</v>
          </cell>
        </row>
        <row r="98">
          <cell r="C98">
            <v>48.5</v>
          </cell>
        </row>
        <row r="99">
          <cell r="C99">
            <v>48.5</v>
          </cell>
        </row>
        <row r="100">
          <cell r="C100">
            <v>48.8</v>
          </cell>
        </row>
        <row r="101">
          <cell r="C101">
            <v>50.1</v>
          </cell>
        </row>
        <row r="102">
          <cell r="C102">
            <v>50.4</v>
          </cell>
        </row>
        <row r="103">
          <cell r="C103">
            <v>51.1</v>
          </cell>
        </row>
        <row r="104">
          <cell r="C104">
            <v>51.2</v>
          </cell>
        </row>
        <row r="105">
          <cell r="C105">
            <v>52.5</v>
          </cell>
        </row>
        <row r="106">
          <cell r="C106">
            <v>53.3</v>
          </cell>
        </row>
        <row r="107">
          <cell r="C107">
            <v>54</v>
          </cell>
        </row>
        <row r="108">
          <cell r="C108">
            <v>57.1</v>
          </cell>
        </row>
        <row r="109">
          <cell r="C109">
            <v>59.1</v>
          </cell>
        </row>
        <row r="110">
          <cell r="C110">
            <v>63</v>
          </cell>
        </row>
      </sheetData>
      <sheetData sheetId="1" refreshError="1"/>
      <sheetData sheetId="2" refreshError="1"/>
      <sheetData sheetId="3" refreshError="1"/>
      <sheetData sheetId="4">
        <row r="3">
          <cell r="F3">
            <v>24.8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topLeftCell="I58" zoomScale="145" zoomScaleNormal="145" workbookViewId="0">
      <selection activeCell="F3" sqref="F3"/>
    </sheetView>
  </sheetViews>
  <sheetFormatPr defaultRowHeight="13.5" customHeight="1" x14ac:dyDescent="0.2"/>
  <cols>
    <col min="1" max="1" width="10.28515625" style="45" customWidth="1"/>
    <col min="2" max="2" width="16.85546875" style="2" customWidth="1"/>
    <col min="3" max="3" width="16.85546875" style="3" customWidth="1"/>
    <col min="4" max="4" width="10.28515625" style="1" customWidth="1"/>
    <col min="5" max="5" width="12.85546875" style="4" customWidth="1"/>
    <col min="6" max="7" width="11.42578125" style="4" customWidth="1"/>
    <col min="8" max="256" width="10.28515625" style="1" customWidth="1"/>
    <col min="257" max="16384" width="9.140625" style="1"/>
  </cols>
  <sheetData>
    <row r="1" spans="1:11" ht="13.5" customHeight="1" thickBot="1" x14ac:dyDescent="0.25">
      <c r="A1" s="41" t="s">
        <v>0</v>
      </c>
      <c r="B1" s="23" t="s">
        <v>14</v>
      </c>
      <c r="C1" s="24" t="s">
        <v>15</v>
      </c>
      <c r="E1" s="6"/>
      <c r="F1" s="7" t="s">
        <v>5</v>
      </c>
      <c r="G1" s="8" t="s">
        <v>6</v>
      </c>
      <c r="H1" s="5" t="s">
        <v>8</v>
      </c>
    </row>
    <row r="2" spans="1:11" ht="13.5" customHeight="1" x14ac:dyDescent="0.2">
      <c r="A2" s="42">
        <v>40969</v>
      </c>
      <c r="B2" s="25">
        <v>5.2399926989787238</v>
      </c>
      <c r="C2" s="26">
        <v>7.9</v>
      </c>
      <c r="E2" s="9" t="s">
        <v>1</v>
      </c>
      <c r="F2" s="12">
        <f>AVERAGE(B2:B97)</f>
        <v>5.7824178173405771</v>
      </c>
      <c r="G2" s="13">
        <f>AVERAGE(C2:C97)</f>
        <v>9.8083333333333336</v>
      </c>
    </row>
    <row r="3" spans="1:11" ht="13.5" customHeight="1" x14ac:dyDescent="0.2">
      <c r="A3" s="43">
        <v>41000</v>
      </c>
      <c r="B3" s="27">
        <v>5.1042261111959419</v>
      </c>
      <c r="C3" s="28">
        <v>7.7</v>
      </c>
      <c r="E3" s="10" t="s">
        <v>4</v>
      </c>
      <c r="F3" s="14">
        <f>_xlfn.STDEV.P(B2:B97)</f>
        <v>2.2203703432639319</v>
      </c>
      <c r="G3" s="15">
        <f>_xlfn.STDEV.P(C2:C97)</f>
        <v>2.4351876496255693</v>
      </c>
    </row>
    <row r="4" spans="1:11" ht="13.5" customHeight="1" x14ac:dyDescent="0.2">
      <c r="A4" s="43">
        <v>41030</v>
      </c>
      <c r="B4" s="27">
        <v>4.9891523093423373</v>
      </c>
      <c r="C4" s="28">
        <v>7.6</v>
      </c>
      <c r="E4" s="10" t="s">
        <v>2</v>
      </c>
      <c r="F4" s="38">
        <f>F3/F2*100</f>
        <v>38.398649378213115</v>
      </c>
      <c r="G4" s="16">
        <f>G3/G2*100</f>
        <v>24.827741542486688</v>
      </c>
      <c r="H4" s="1" t="s">
        <v>9</v>
      </c>
    </row>
    <row r="5" spans="1:11" ht="13.5" customHeight="1" x14ac:dyDescent="0.2">
      <c r="A5" s="43">
        <v>41061</v>
      </c>
      <c r="B5" s="27">
        <v>4.9157699762254925</v>
      </c>
      <c r="C5" s="28">
        <v>7.5</v>
      </c>
      <c r="E5" s="10" t="s">
        <v>7</v>
      </c>
      <c r="F5" s="17">
        <f>MEDIAN(B2:B97)</f>
        <v>5.6325240529274563</v>
      </c>
      <c r="G5" s="18">
        <f>MEDIAN(C2:C97)</f>
        <v>10.55</v>
      </c>
      <c r="I5" s="1" t="s">
        <v>10</v>
      </c>
    </row>
    <row r="6" spans="1:11" ht="13.5" customHeight="1" x14ac:dyDescent="0.2">
      <c r="A6" s="43">
        <v>41091</v>
      </c>
      <c r="B6" s="27">
        <v>5.198590043054363</v>
      </c>
      <c r="C6" s="28">
        <v>7.4</v>
      </c>
      <c r="E6" s="10" t="s">
        <v>3</v>
      </c>
      <c r="F6" s="19">
        <f>3*(F2-F5)/F3</f>
        <v>0.20252535555772808</v>
      </c>
      <c r="G6" s="20">
        <f>3*(G2-G5)/G3</f>
        <v>-0.9136872882638486</v>
      </c>
      <c r="I6"/>
    </row>
    <row r="7" spans="1:11" ht="13.5" customHeight="1" thickBot="1" x14ac:dyDescent="0.25">
      <c r="A7" s="43">
        <v>41122</v>
      </c>
      <c r="B7" s="27">
        <v>5.2405143591021996</v>
      </c>
      <c r="C7" s="28">
        <v>7.3</v>
      </c>
      <c r="E7" s="11"/>
      <c r="F7" s="21" t="s">
        <v>11</v>
      </c>
      <c r="G7" s="22" t="s">
        <v>12</v>
      </c>
      <c r="I7" s="1" t="s">
        <v>13</v>
      </c>
    </row>
    <row r="8" spans="1:11" ht="13.5" customHeight="1" x14ac:dyDescent="0.2">
      <c r="A8" s="43">
        <v>41153</v>
      </c>
      <c r="B8" s="27">
        <v>5.2823886312037382</v>
      </c>
      <c r="C8" s="28">
        <v>7.1</v>
      </c>
      <c r="G8" s="54">
        <f>_xlfn.QUARTILE.EXC(C2:C97,1)</f>
        <v>7.3</v>
      </c>
      <c r="H8" s="54">
        <f>_xlfn.QUARTILE.INC(C2:C97,1)</f>
        <v>7.3</v>
      </c>
    </row>
    <row r="9" spans="1:11" ht="13.5" customHeight="1" x14ac:dyDescent="0.2">
      <c r="A9" s="43">
        <v>41183</v>
      </c>
      <c r="B9" s="27">
        <v>5.4501192115182784</v>
      </c>
      <c r="C9" s="28">
        <v>6.9</v>
      </c>
      <c r="E9" s="5" t="s">
        <v>16</v>
      </c>
    </row>
    <row r="10" spans="1:11" ht="13.5" customHeight="1" x14ac:dyDescent="0.2">
      <c r="A10" s="43">
        <v>41214</v>
      </c>
      <c r="B10" s="27">
        <v>5.5340429036881966</v>
      </c>
      <c r="C10" s="28">
        <v>6.8</v>
      </c>
      <c r="E10" s="37" t="s">
        <v>17</v>
      </c>
    </row>
    <row r="11" spans="1:11" ht="13.5" customHeight="1" x14ac:dyDescent="0.2">
      <c r="A11" s="43">
        <v>41244</v>
      </c>
      <c r="B11" s="27">
        <v>5.8385689976391042</v>
      </c>
      <c r="C11" s="28">
        <v>6.9</v>
      </c>
      <c r="E11" s="37" t="s">
        <v>18</v>
      </c>
    </row>
    <row r="12" spans="1:11" ht="13.5" customHeight="1" x14ac:dyDescent="0.2">
      <c r="A12" s="43">
        <v>41275</v>
      </c>
      <c r="B12" s="27">
        <v>6.1543165185151461</v>
      </c>
      <c r="C12" s="28">
        <v>7.2</v>
      </c>
      <c r="E12" s="37" t="s">
        <v>19</v>
      </c>
    </row>
    <row r="13" spans="1:11" ht="13.5" customHeight="1" x14ac:dyDescent="0.2">
      <c r="A13" s="43">
        <v>41306</v>
      </c>
      <c r="B13" s="27">
        <v>6.3128346616487807</v>
      </c>
      <c r="C13" s="28">
        <v>7.7</v>
      </c>
      <c r="E13" s="37" t="s">
        <v>20</v>
      </c>
    </row>
    <row r="14" spans="1:11" ht="13.5" customHeight="1" x14ac:dyDescent="0.2">
      <c r="A14" s="43">
        <v>41334</v>
      </c>
      <c r="B14" s="27">
        <v>6.5886687801203436</v>
      </c>
      <c r="C14" s="28">
        <v>8</v>
      </c>
    </row>
    <row r="15" spans="1:11" ht="13.5" customHeight="1" x14ac:dyDescent="0.2">
      <c r="A15" s="43">
        <v>41365</v>
      </c>
      <c r="B15" s="27">
        <v>6.4933490246532166</v>
      </c>
      <c r="C15" s="28">
        <v>7.8</v>
      </c>
      <c r="K15" s="31" t="s">
        <v>21</v>
      </c>
    </row>
    <row r="16" spans="1:11" ht="13.5" customHeight="1" x14ac:dyDescent="0.2">
      <c r="A16" s="43">
        <v>41395</v>
      </c>
      <c r="B16" s="27">
        <v>6.5039601594703234</v>
      </c>
      <c r="C16" s="28">
        <v>7.6</v>
      </c>
      <c r="K16" s="1">
        <v>3</v>
      </c>
    </row>
    <row r="17" spans="1:11" ht="13.5" customHeight="1" x14ac:dyDescent="0.2">
      <c r="A17" s="43">
        <v>41426</v>
      </c>
      <c r="B17" s="27">
        <v>6.6955140446492312</v>
      </c>
      <c r="C17" s="28">
        <v>7.4</v>
      </c>
      <c r="K17" s="1">
        <v>4</v>
      </c>
    </row>
    <row r="18" spans="1:11" ht="13.5" customHeight="1" x14ac:dyDescent="0.2">
      <c r="A18" s="43">
        <v>41456</v>
      </c>
      <c r="B18" s="27">
        <v>6.2705592938988364</v>
      </c>
      <c r="C18" s="28">
        <v>7.3</v>
      </c>
      <c r="K18" s="1">
        <v>5</v>
      </c>
    </row>
    <row r="19" spans="1:11" ht="13.5" customHeight="1" x14ac:dyDescent="0.2">
      <c r="A19" s="43">
        <v>41487</v>
      </c>
      <c r="B19" s="27">
        <v>6.0906370244041774</v>
      </c>
      <c r="C19" s="28">
        <v>7.1</v>
      </c>
      <c r="K19" s="1">
        <v>6</v>
      </c>
    </row>
    <row r="20" spans="1:11" ht="13.5" customHeight="1" x14ac:dyDescent="0.2">
      <c r="A20" s="43">
        <v>41518</v>
      </c>
      <c r="B20" s="27">
        <v>5.8585604593711649</v>
      </c>
      <c r="C20" s="28">
        <v>6.9</v>
      </c>
      <c r="K20" s="1">
        <v>7</v>
      </c>
    </row>
    <row r="21" spans="1:11" ht="13.5" customHeight="1" x14ac:dyDescent="0.2">
      <c r="A21" s="43">
        <v>41548</v>
      </c>
      <c r="B21" s="27">
        <v>5.8375129277160376</v>
      </c>
      <c r="C21" s="28">
        <v>6.7</v>
      </c>
      <c r="K21" s="1">
        <v>8</v>
      </c>
    </row>
    <row r="22" spans="1:11" ht="13.5" customHeight="1" x14ac:dyDescent="0.2">
      <c r="A22" s="43">
        <v>41579</v>
      </c>
      <c r="B22" s="27">
        <v>5.7743891625503752</v>
      </c>
      <c r="C22" s="28">
        <v>6.5</v>
      </c>
      <c r="K22" s="1">
        <v>9</v>
      </c>
    </row>
    <row r="23" spans="1:11" ht="13.5" customHeight="1" x14ac:dyDescent="0.2">
      <c r="A23" s="43">
        <v>41609</v>
      </c>
      <c r="B23" s="27">
        <v>5.9108180800137911</v>
      </c>
      <c r="C23" s="28">
        <v>6.2</v>
      </c>
      <c r="K23" s="1">
        <v>10</v>
      </c>
    </row>
    <row r="24" spans="1:11" ht="13.5" customHeight="1" x14ac:dyDescent="0.2">
      <c r="A24" s="43">
        <v>41640</v>
      </c>
      <c r="B24" s="27">
        <v>5.5852940506185611</v>
      </c>
      <c r="C24" s="28">
        <v>6.4</v>
      </c>
    </row>
    <row r="25" spans="1:11" ht="13.5" customHeight="1" thickBot="1" x14ac:dyDescent="0.25">
      <c r="A25" s="43">
        <v>41671</v>
      </c>
      <c r="B25" s="27">
        <v>5.6797540552363524</v>
      </c>
      <c r="C25" s="28">
        <v>6.7</v>
      </c>
    </row>
    <row r="26" spans="1:11" ht="13.5" customHeight="1" x14ac:dyDescent="0.2">
      <c r="A26" s="43">
        <v>41699</v>
      </c>
      <c r="B26" s="27">
        <v>6.1530882776396734</v>
      </c>
      <c r="C26" s="28">
        <v>7.2</v>
      </c>
      <c r="F26" s="34" t="s">
        <v>21</v>
      </c>
      <c r="G26" s="34" t="s">
        <v>22</v>
      </c>
    </row>
    <row r="27" spans="1:11" ht="13.5" customHeight="1" x14ac:dyDescent="0.2">
      <c r="A27" s="43">
        <v>41730</v>
      </c>
      <c r="B27" s="27">
        <v>6.279775205469762</v>
      </c>
      <c r="C27" s="28">
        <v>7.1</v>
      </c>
      <c r="F27" s="35" t="s">
        <v>23</v>
      </c>
      <c r="G27" s="32">
        <v>14</v>
      </c>
    </row>
    <row r="28" spans="1:11" ht="13.5" customHeight="1" x14ac:dyDescent="0.2">
      <c r="A28" s="43">
        <v>41760</v>
      </c>
      <c r="B28" s="27">
        <v>6.3750743961491718</v>
      </c>
      <c r="C28" s="28">
        <v>7</v>
      </c>
      <c r="F28" s="35" t="s">
        <v>24</v>
      </c>
      <c r="G28" s="32">
        <v>8</v>
      </c>
    </row>
    <row r="29" spans="1:11" ht="13.5" customHeight="1" x14ac:dyDescent="0.2">
      <c r="A29" s="43">
        <v>41791</v>
      </c>
      <c r="B29" s="27">
        <v>6.5236132991559836</v>
      </c>
      <c r="C29" s="28">
        <v>6.8</v>
      </c>
      <c r="F29" s="35" t="s">
        <v>25</v>
      </c>
      <c r="G29" s="32">
        <v>17</v>
      </c>
    </row>
    <row r="30" spans="1:11" ht="13.5" customHeight="1" x14ac:dyDescent="0.2">
      <c r="A30" s="43">
        <v>41821</v>
      </c>
      <c r="B30" s="27">
        <v>6.50231496599607</v>
      </c>
      <c r="C30" s="28">
        <v>6.9</v>
      </c>
      <c r="F30" s="35" t="s">
        <v>26</v>
      </c>
      <c r="G30" s="32">
        <v>15</v>
      </c>
    </row>
    <row r="31" spans="1:11" ht="13.5" customHeight="1" x14ac:dyDescent="0.2">
      <c r="A31" s="43">
        <v>41852</v>
      </c>
      <c r="B31" s="27">
        <v>6.5129396981355558</v>
      </c>
      <c r="C31" s="28">
        <v>6.9</v>
      </c>
      <c r="F31" s="35" t="s">
        <v>27</v>
      </c>
      <c r="G31" s="32">
        <v>20</v>
      </c>
    </row>
    <row r="32" spans="1:11" ht="13.5" customHeight="1" x14ac:dyDescent="0.2">
      <c r="A32" s="43">
        <v>41883</v>
      </c>
      <c r="B32" s="27">
        <v>6.7464508763476871</v>
      </c>
      <c r="C32" s="28">
        <v>6.8</v>
      </c>
      <c r="F32" s="35" t="s">
        <v>28</v>
      </c>
      <c r="G32" s="32">
        <v>3</v>
      </c>
    </row>
    <row r="33" spans="1:7" ht="13.5" customHeight="1" x14ac:dyDescent="0.2">
      <c r="A33" s="43">
        <v>41913</v>
      </c>
      <c r="B33" s="27">
        <v>6.5872387093848461</v>
      </c>
      <c r="C33" s="28">
        <v>6.6</v>
      </c>
      <c r="F33" s="35" t="s">
        <v>29</v>
      </c>
      <c r="G33" s="32">
        <v>8</v>
      </c>
    </row>
    <row r="34" spans="1:7" ht="13.5" customHeight="1" x14ac:dyDescent="0.2">
      <c r="A34" s="43">
        <v>41944</v>
      </c>
      <c r="B34" s="27">
        <v>6.555434281681638</v>
      </c>
      <c r="C34" s="28">
        <v>6.5</v>
      </c>
      <c r="F34" s="35" t="s">
        <v>30</v>
      </c>
      <c r="G34" s="32">
        <v>7</v>
      </c>
    </row>
    <row r="35" spans="1:7" ht="13.5" customHeight="1" thickBot="1" x14ac:dyDescent="0.25">
      <c r="A35" s="43">
        <v>41974</v>
      </c>
      <c r="B35" s="27">
        <v>6.4076165963919518</v>
      </c>
      <c r="C35" s="28">
        <v>6.5</v>
      </c>
      <c r="F35" s="36" t="s">
        <v>31</v>
      </c>
      <c r="G35" s="33">
        <v>4</v>
      </c>
    </row>
    <row r="36" spans="1:7" ht="13.5" customHeight="1" x14ac:dyDescent="0.2">
      <c r="A36" s="43">
        <v>42005</v>
      </c>
      <c r="B36" s="27">
        <v>7.1378130703005693</v>
      </c>
      <c r="C36" s="28">
        <v>6.8</v>
      </c>
    </row>
    <row r="37" spans="1:7" ht="13.5" customHeight="1" x14ac:dyDescent="0.2">
      <c r="A37" s="43">
        <v>42036</v>
      </c>
      <c r="B37" s="27">
        <v>7.7017522988958476</v>
      </c>
      <c r="C37" s="28">
        <v>7.4</v>
      </c>
    </row>
    <row r="38" spans="1:7" ht="13.5" customHeight="1" x14ac:dyDescent="0.2">
      <c r="A38" s="43">
        <v>42064</v>
      </c>
      <c r="B38" s="27">
        <v>8.1286320147059943</v>
      </c>
      <c r="C38" s="28">
        <v>7.9</v>
      </c>
    </row>
    <row r="39" spans="1:7" ht="13.5" customHeight="1" x14ac:dyDescent="0.2">
      <c r="A39" s="43">
        <v>42095</v>
      </c>
      <c r="B39" s="27">
        <v>8.1715956114139168</v>
      </c>
      <c r="C39" s="28">
        <v>8</v>
      </c>
    </row>
    <row r="40" spans="1:7" ht="13.5" customHeight="1" x14ac:dyDescent="0.2">
      <c r="A40" s="43">
        <v>42125</v>
      </c>
      <c r="B40" s="27">
        <v>8.4730892085789442</v>
      </c>
      <c r="C40" s="28">
        <v>8.1</v>
      </c>
    </row>
    <row r="41" spans="1:7" ht="13.5" customHeight="1" x14ac:dyDescent="0.2">
      <c r="A41" s="43">
        <v>42156</v>
      </c>
      <c r="B41" s="27">
        <v>8.8944488180545012</v>
      </c>
      <c r="C41" s="28">
        <v>8.3000000000000007</v>
      </c>
    </row>
    <row r="42" spans="1:7" ht="13.5" customHeight="1" x14ac:dyDescent="0.2">
      <c r="A42" s="43">
        <v>42186</v>
      </c>
      <c r="B42" s="27">
        <v>9.5586385368727775</v>
      </c>
      <c r="C42" s="28">
        <v>8.5</v>
      </c>
    </row>
    <row r="43" spans="1:7" ht="13.5" customHeight="1" x14ac:dyDescent="0.2">
      <c r="A43" s="43">
        <v>42217</v>
      </c>
      <c r="B43" s="27">
        <v>9.5258529093804398</v>
      </c>
      <c r="C43" s="28">
        <v>8.6999999999999993</v>
      </c>
    </row>
    <row r="44" spans="1:7" ht="13.5" customHeight="1" x14ac:dyDescent="0.2">
      <c r="A44" s="43">
        <v>42248</v>
      </c>
      <c r="B44" s="27">
        <v>9.4931813812181289</v>
      </c>
      <c r="C44" s="28">
        <v>8.9</v>
      </c>
    </row>
    <row r="45" spans="1:7" ht="13.5" customHeight="1" x14ac:dyDescent="0.2">
      <c r="A45" s="43">
        <v>42278</v>
      </c>
      <c r="B45" s="27">
        <v>9.9293223148218637</v>
      </c>
      <c r="C45" s="28">
        <v>8.9</v>
      </c>
    </row>
    <row r="46" spans="1:7" ht="13.5" customHeight="1" x14ac:dyDescent="0.2">
      <c r="A46" s="43">
        <v>42309</v>
      </c>
      <c r="B46" s="27">
        <v>10.476179952444076</v>
      </c>
      <c r="C46" s="28">
        <v>9</v>
      </c>
    </row>
    <row r="47" spans="1:7" ht="13.5" customHeight="1" x14ac:dyDescent="0.2">
      <c r="A47" s="43">
        <v>42339</v>
      </c>
      <c r="B47" s="27">
        <v>10.673497995621762</v>
      </c>
      <c r="C47" s="28">
        <v>8.9</v>
      </c>
    </row>
    <row r="48" spans="1:7" ht="13.5" customHeight="1" x14ac:dyDescent="0.2">
      <c r="A48" s="43">
        <v>42370</v>
      </c>
      <c r="B48" s="27">
        <v>10.706293382226505</v>
      </c>
      <c r="C48" s="28">
        <v>9.5</v>
      </c>
    </row>
    <row r="49" spans="1:3" ht="13.5" customHeight="1" x14ac:dyDescent="0.2">
      <c r="A49" s="43">
        <v>42401</v>
      </c>
      <c r="B49" s="27">
        <v>10.356303124547072</v>
      </c>
      <c r="C49" s="28">
        <v>10.199999999999999</v>
      </c>
    </row>
    <row r="50" spans="1:3" ht="13.5" customHeight="1" x14ac:dyDescent="0.2">
      <c r="A50" s="43">
        <v>42430</v>
      </c>
      <c r="B50" s="27">
        <v>9.3869277812698151</v>
      </c>
      <c r="C50" s="28">
        <v>10.9</v>
      </c>
    </row>
    <row r="51" spans="1:3" ht="13.5" customHeight="1" x14ac:dyDescent="0.2">
      <c r="A51" s="43">
        <v>42461</v>
      </c>
      <c r="B51" s="27">
        <v>9.2783120253555609</v>
      </c>
      <c r="C51" s="28">
        <v>11.2</v>
      </c>
    </row>
    <row r="52" spans="1:3" ht="13.5" customHeight="1" x14ac:dyDescent="0.2">
      <c r="A52" s="43">
        <v>42491</v>
      </c>
      <c r="B52" s="27">
        <v>9.3217022624114243</v>
      </c>
      <c r="C52" s="28">
        <v>11.2</v>
      </c>
    </row>
    <row r="53" spans="1:3" ht="13.5" customHeight="1" x14ac:dyDescent="0.2">
      <c r="A53" s="43">
        <v>42522</v>
      </c>
      <c r="B53" s="27">
        <v>8.8444570099512898</v>
      </c>
      <c r="C53" s="28">
        <v>11.3</v>
      </c>
    </row>
    <row r="54" spans="1:3" ht="13.5" customHeight="1" x14ac:dyDescent="0.2">
      <c r="A54" s="43">
        <v>42552</v>
      </c>
      <c r="B54" s="27">
        <v>8.7362832303747204</v>
      </c>
      <c r="C54" s="28">
        <v>11.6</v>
      </c>
    </row>
    <row r="55" spans="1:3" ht="13.5" customHeight="1" x14ac:dyDescent="0.2">
      <c r="A55" s="43">
        <v>42583</v>
      </c>
      <c r="B55" s="27">
        <v>8.9749779251530484</v>
      </c>
      <c r="C55" s="28">
        <v>11.8</v>
      </c>
    </row>
    <row r="56" spans="1:3" ht="13.5" customHeight="1" x14ac:dyDescent="0.2">
      <c r="A56" s="43">
        <v>42614</v>
      </c>
      <c r="B56" s="27">
        <v>8.4763854261917118</v>
      </c>
      <c r="C56" s="28">
        <v>11.8</v>
      </c>
    </row>
    <row r="57" spans="1:3" ht="13.5" customHeight="1" x14ac:dyDescent="0.2">
      <c r="A57" s="43">
        <v>42644</v>
      </c>
      <c r="B57" s="27">
        <v>7.8738583895058278</v>
      </c>
      <c r="C57" s="28">
        <v>11.8</v>
      </c>
    </row>
    <row r="58" spans="1:3" ht="13.5" customHeight="1" x14ac:dyDescent="0.2">
      <c r="A58" s="43">
        <v>42675</v>
      </c>
      <c r="B58" s="27">
        <v>6.9874580087189164</v>
      </c>
      <c r="C58" s="28">
        <v>11.8</v>
      </c>
    </row>
    <row r="59" spans="1:3" ht="13.5" customHeight="1" x14ac:dyDescent="0.2">
      <c r="A59" s="43">
        <v>42705</v>
      </c>
      <c r="B59" s="27">
        <v>6.2880550542244951</v>
      </c>
      <c r="C59" s="28">
        <v>12</v>
      </c>
    </row>
    <row r="60" spans="1:3" ht="13.5" customHeight="1" x14ac:dyDescent="0.2">
      <c r="A60" s="43">
        <v>42736</v>
      </c>
      <c r="B60" s="27">
        <v>5.3539544420169616</v>
      </c>
      <c r="C60" s="28">
        <v>12.6</v>
      </c>
    </row>
    <row r="61" spans="1:3" ht="13.5" customHeight="1" x14ac:dyDescent="0.2">
      <c r="A61" s="43">
        <v>42767</v>
      </c>
      <c r="B61" s="27">
        <v>4.7587933515120362</v>
      </c>
      <c r="C61" s="28">
        <v>13.2</v>
      </c>
    </row>
    <row r="62" spans="1:3" ht="13.5" customHeight="1" x14ac:dyDescent="0.2">
      <c r="A62" s="43">
        <v>42795</v>
      </c>
      <c r="B62" s="27">
        <v>4.5710348848858384</v>
      </c>
      <c r="C62" s="28">
        <v>13.7</v>
      </c>
    </row>
    <row r="63" spans="1:3" ht="13.5" customHeight="1" x14ac:dyDescent="0.2">
      <c r="A63" s="43">
        <v>42826</v>
      </c>
      <c r="B63" s="27">
        <v>4.0825308952635586</v>
      </c>
      <c r="C63" s="28">
        <v>13.6</v>
      </c>
    </row>
    <row r="64" spans="1:3" ht="13.5" customHeight="1" x14ac:dyDescent="0.2">
      <c r="A64" s="43">
        <v>42856</v>
      </c>
      <c r="B64" s="27">
        <v>3.5971291337952627</v>
      </c>
      <c r="C64" s="28">
        <v>13.3</v>
      </c>
    </row>
    <row r="65" spans="1:14" ht="13.5" customHeight="1" x14ac:dyDescent="0.2">
      <c r="A65" s="43">
        <v>42887</v>
      </c>
      <c r="B65" s="27">
        <v>2.9983614716367679</v>
      </c>
      <c r="C65" s="28">
        <v>13</v>
      </c>
    </row>
    <row r="66" spans="1:14" ht="13.5" customHeight="1" x14ac:dyDescent="0.2">
      <c r="A66" s="43">
        <v>42917</v>
      </c>
      <c r="B66" s="27">
        <v>2.7114579577881992</v>
      </c>
      <c r="C66" s="28">
        <v>12.8</v>
      </c>
    </row>
    <row r="67" spans="1:14" ht="13.5" customHeight="1" x14ac:dyDescent="0.2">
      <c r="A67" s="43">
        <v>42948</v>
      </c>
      <c r="B67" s="27">
        <v>2.455804189474331</v>
      </c>
      <c r="C67" s="28">
        <v>12.6</v>
      </c>
    </row>
    <row r="68" spans="1:14" ht="13.5" customHeight="1" x14ac:dyDescent="0.2">
      <c r="A68" s="43">
        <v>42979</v>
      </c>
      <c r="B68" s="27">
        <v>2.5377033135266736</v>
      </c>
      <c r="C68" s="28">
        <v>12.4</v>
      </c>
    </row>
    <row r="69" spans="1:14" ht="13.5" customHeight="1" x14ac:dyDescent="0.2">
      <c r="A69" s="43">
        <v>43009</v>
      </c>
      <c r="B69" s="27">
        <v>2.7013381881543008</v>
      </c>
      <c r="C69" s="28">
        <v>12.2</v>
      </c>
    </row>
    <row r="70" spans="1:14" ht="13.5" customHeight="1" x14ac:dyDescent="0.2">
      <c r="A70" s="43">
        <v>43040</v>
      </c>
      <c r="B70" s="27">
        <v>2.8038549960881287</v>
      </c>
      <c r="C70" s="28">
        <v>12</v>
      </c>
    </row>
    <row r="71" spans="1:14" ht="13.5" customHeight="1" x14ac:dyDescent="0.2">
      <c r="A71" s="43">
        <v>43070</v>
      </c>
      <c r="B71" s="27">
        <v>2.9473499083458643</v>
      </c>
      <c r="C71" s="28">
        <v>11.8</v>
      </c>
    </row>
    <row r="72" spans="1:14" ht="13.5" customHeight="1" x14ac:dyDescent="0.2">
      <c r="A72" s="43">
        <v>43101</v>
      </c>
      <c r="B72" s="27">
        <v>2.8550480405260759</v>
      </c>
      <c r="C72" s="28">
        <v>12.2</v>
      </c>
      <c r="N72" s="1" t="s">
        <v>32</v>
      </c>
    </row>
    <row r="73" spans="1:14" ht="13.5" customHeight="1" x14ac:dyDescent="0.2">
      <c r="A73" s="43">
        <v>43132</v>
      </c>
      <c r="B73" s="27">
        <v>2.8447963662471709</v>
      </c>
      <c r="C73" s="28">
        <v>12.6</v>
      </c>
      <c r="N73" s="1" t="s">
        <v>33</v>
      </c>
    </row>
    <row r="74" spans="1:14" ht="13.5" customHeight="1" x14ac:dyDescent="0.2">
      <c r="A74" s="43">
        <v>43160</v>
      </c>
      <c r="B74" s="27">
        <v>2.6806550453633449</v>
      </c>
      <c r="C74" s="28">
        <v>13.1</v>
      </c>
    </row>
    <row r="75" spans="1:14" ht="13.5" customHeight="1" x14ac:dyDescent="0.2">
      <c r="A75" s="43">
        <v>43191</v>
      </c>
      <c r="B75" s="27">
        <v>2.762684727844178</v>
      </c>
      <c r="C75" s="28">
        <v>12.9</v>
      </c>
      <c r="N75" s="1" t="s">
        <v>34</v>
      </c>
    </row>
    <row r="76" spans="1:14" ht="13.5" customHeight="1" x14ac:dyDescent="0.2">
      <c r="A76" s="43">
        <v>43221</v>
      </c>
      <c r="B76" s="27">
        <v>2.8548853222565507</v>
      </c>
      <c r="C76" s="28">
        <v>12.7</v>
      </c>
      <c r="N76" s="39" t="s">
        <v>35</v>
      </c>
    </row>
    <row r="77" spans="1:14" ht="13.5" customHeight="1" x14ac:dyDescent="0.2">
      <c r="A77" s="43">
        <v>43252</v>
      </c>
      <c r="B77" s="27">
        <v>4.3909560762924293</v>
      </c>
      <c r="C77" s="28">
        <v>12.4</v>
      </c>
      <c r="N77" s="39" t="s">
        <v>36</v>
      </c>
    </row>
    <row r="78" spans="1:14" ht="13.5" customHeight="1" x14ac:dyDescent="0.2">
      <c r="A78" s="43">
        <v>43282</v>
      </c>
      <c r="B78" s="27">
        <v>4.4846829921630249</v>
      </c>
      <c r="C78" s="28">
        <v>12.3</v>
      </c>
    </row>
    <row r="79" spans="1:14" ht="13.5" customHeight="1" x14ac:dyDescent="0.2">
      <c r="A79" s="43">
        <v>43313</v>
      </c>
      <c r="B79" s="27">
        <v>4.192680684170158</v>
      </c>
      <c r="C79" s="28">
        <v>12.1</v>
      </c>
      <c r="M79" s="1" t="s">
        <v>37</v>
      </c>
      <c r="N79" s="40">
        <f>CORREL(C2:C97,B2:B97)</f>
        <v>-0.43662462052263773</v>
      </c>
    </row>
    <row r="80" spans="1:14" ht="13.5" customHeight="1" x14ac:dyDescent="0.2">
      <c r="A80" s="43">
        <v>43344</v>
      </c>
      <c r="B80" s="27">
        <v>4.5255646480172995</v>
      </c>
      <c r="C80" s="28">
        <v>11.9</v>
      </c>
    </row>
    <row r="81" spans="1:3" ht="13.5" customHeight="1" x14ac:dyDescent="0.2">
      <c r="A81" s="43">
        <v>43374</v>
      </c>
      <c r="B81" s="27">
        <v>4.5567911660360672</v>
      </c>
      <c r="C81" s="28">
        <v>11.7</v>
      </c>
    </row>
    <row r="82" spans="1:3" ht="13.5" customHeight="1" x14ac:dyDescent="0.2">
      <c r="A82" s="43">
        <v>43405</v>
      </c>
      <c r="B82" s="27">
        <v>4.0458934030588312</v>
      </c>
      <c r="C82" s="28">
        <v>11.6</v>
      </c>
    </row>
    <row r="83" spans="1:3" ht="13.5" customHeight="1" x14ac:dyDescent="0.2">
      <c r="A83" s="43">
        <v>43435</v>
      </c>
      <c r="B83" s="27">
        <v>3.7454821218273926</v>
      </c>
      <c r="C83" s="28">
        <v>11.6</v>
      </c>
    </row>
    <row r="84" spans="1:3" ht="13.5" customHeight="1" x14ac:dyDescent="0.2">
      <c r="A84" s="43">
        <v>43466</v>
      </c>
      <c r="B84" s="27">
        <v>3.7765157688874451</v>
      </c>
      <c r="C84" s="28">
        <v>12</v>
      </c>
    </row>
    <row r="85" spans="1:3" ht="13.5" customHeight="1" x14ac:dyDescent="0.2">
      <c r="A85" s="43">
        <v>43497</v>
      </c>
      <c r="B85" s="27">
        <v>3.8903058081077635</v>
      </c>
      <c r="C85" s="28">
        <v>12.4</v>
      </c>
    </row>
    <row r="86" spans="1:3" ht="13.5" customHeight="1" x14ac:dyDescent="0.2">
      <c r="A86" s="43">
        <v>43525</v>
      </c>
      <c r="B86" s="27">
        <v>4.575365272922971</v>
      </c>
      <c r="C86" s="28">
        <v>12.7</v>
      </c>
    </row>
    <row r="87" spans="1:3" ht="13.5" customHeight="1" x14ac:dyDescent="0.2">
      <c r="A87" s="43">
        <v>43556</v>
      </c>
      <c r="B87" s="27">
        <v>4.9405755886834823</v>
      </c>
      <c r="C87" s="28">
        <v>12.5</v>
      </c>
    </row>
    <row r="88" spans="1:3" ht="13.5" customHeight="1" x14ac:dyDescent="0.2">
      <c r="A88" s="43">
        <v>43586</v>
      </c>
      <c r="B88" s="27">
        <v>4.6583648774390696</v>
      </c>
      <c r="C88" s="28">
        <v>12.3</v>
      </c>
    </row>
    <row r="89" spans="1:3" ht="13.5" customHeight="1" x14ac:dyDescent="0.2">
      <c r="A89" s="43">
        <v>43617</v>
      </c>
      <c r="B89" s="27">
        <v>3.3664138988019232</v>
      </c>
      <c r="C89" s="28">
        <v>12</v>
      </c>
    </row>
    <row r="90" spans="1:3" ht="13.5" customHeight="1" x14ac:dyDescent="0.2">
      <c r="A90" s="43">
        <v>43647</v>
      </c>
      <c r="B90" s="27">
        <v>3.2221769014348478</v>
      </c>
      <c r="C90" s="28">
        <v>11.8</v>
      </c>
    </row>
    <row r="91" spans="1:3" ht="13.5" customHeight="1" x14ac:dyDescent="0.2">
      <c r="A91" s="43">
        <v>43678</v>
      </c>
      <c r="B91" s="27">
        <v>3.4288072225267641</v>
      </c>
      <c r="C91" s="28">
        <v>11.8</v>
      </c>
    </row>
    <row r="92" spans="1:3" ht="13.5" customHeight="1" x14ac:dyDescent="0.2">
      <c r="A92" s="43">
        <v>43709</v>
      </c>
      <c r="B92" s="27">
        <v>2.8935466755948935</v>
      </c>
      <c r="C92" s="28">
        <v>11.8</v>
      </c>
    </row>
    <row r="93" spans="1:3" ht="13.5" customHeight="1" x14ac:dyDescent="0.2">
      <c r="A93" s="43">
        <v>43739</v>
      </c>
      <c r="B93" s="27">
        <v>2.5350325756799075</v>
      </c>
      <c r="C93" s="28">
        <v>11.6</v>
      </c>
    </row>
    <row r="94" spans="1:3" ht="13.5" customHeight="1" x14ac:dyDescent="0.2">
      <c r="A94" s="43">
        <v>43770</v>
      </c>
      <c r="B94" s="27">
        <v>3.2748384024610777</v>
      </c>
      <c r="C94" s="28">
        <v>11.2</v>
      </c>
    </row>
    <row r="95" spans="1:3" ht="13.5" customHeight="1" x14ac:dyDescent="0.2">
      <c r="A95" s="43">
        <v>43800</v>
      </c>
      <c r="B95" s="27">
        <v>4.3060399841131636</v>
      </c>
      <c r="C95" s="28">
        <v>11</v>
      </c>
    </row>
    <row r="96" spans="1:3" ht="13.5" customHeight="1" x14ac:dyDescent="0.2">
      <c r="A96" s="43">
        <v>43831</v>
      </c>
      <c r="B96" s="27">
        <v>4.1916693262358473</v>
      </c>
      <c r="C96" s="28">
        <v>11.2</v>
      </c>
    </row>
    <row r="97" spans="1:3" ht="13.5" customHeight="1" thickBot="1" x14ac:dyDescent="0.25">
      <c r="A97" s="44">
        <v>43862</v>
      </c>
      <c r="B97" s="29">
        <v>4.0049273121093965</v>
      </c>
      <c r="C97" s="30">
        <v>11.6</v>
      </c>
    </row>
    <row r="98" spans="1:3" ht="13.5" customHeight="1" x14ac:dyDescent="0.2">
      <c r="B98" s="1"/>
    </row>
  </sheetData>
  <autoFilter ref="A1:C97">
    <sortState ref="A2:C97">
      <sortCondition ref="A1:A97"/>
    </sortState>
  </autoFilter>
  <sortState ref="F27:F34">
    <sortCondition ref="F30"/>
  </sortState>
  <pageMargins left="0.78740157499999996" right="0.78740157499999996" top="0.984251969" bottom="0.984251969" header="0.5" footer="0.5"/>
  <pageSetup paperSize="9" fitToWidth="0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3"/>
  <sheetViews>
    <sheetView zoomScaleNormal="100" workbookViewId="0">
      <selection activeCell="L24" sqref="L24"/>
    </sheetView>
  </sheetViews>
  <sheetFormatPr defaultRowHeight="13.5" customHeight="1" x14ac:dyDescent="0.2"/>
  <cols>
    <col min="1" max="1" width="9.140625" style="46"/>
    <col min="2" max="2" width="11.42578125" style="46" bestFit="1" customWidth="1"/>
    <col min="3" max="3" width="15.42578125" style="52" bestFit="1" customWidth="1"/>
    <col min="4" max="16384" width="9.140625" style="46"/>
  </cols>
  <sheetData>
    <row r="2" spans="1:6" ht="13.5" customHeight="1" x14ac:dyDescent="0.2">
      <c r="C2" s="47" t="s">
        <v>38</v>
      </c>
      <c r="E2" s="94" t="s">
        <v>39</v>
      </c>
      <c r="F2" s="94"/>
    </row>
    <row r="3" spans="1:6" ht="13.5" customHeight="1" x14ac:dyDescent="0.2">
      <c r="A3" s="46" t="s">
        <v>40</v>
      </c>
      <c r="B3" s="48" t="s">
        <v>41</v>
      </c>
      <c r="C3" s="49">
        <f>MIN('Estatistica descritiva'!B:B)</f>
        <v>2.455804189474331</v>
      </c>
      <c r="E3" s="50" t="s">
        <v>42</v>
      </c>
      <c r="F3" s="51">
        <f>C3</f>
        <v>2.455804189474331</v>
      </c>
    </row>
    <row r="4" spans="1:6" ht="13.5" customHeight="1" x14ac:dyDescent="0.2">
      <c r="B4" s="48" t="s">
        <v>43</v>
      </c>
      <c r="C4" s="49">
        <f>_xlfn.QUARTILE.EXC('Estatistica descritiva'!B2:B97,1)</f>
        <v>4.0550527761100135</v>
      </c>
      <c r="E4" s="50" t="s">
        <v>44</v>
      </c>
      <c r="F4" s="51">
        <f>0</f>
        <v>0</v>
      </c>
    </row>
    <row r="5" spans="1:6" ht="13.5" customHeight="1" x14ac:dyDescent="0.2">
      <c r="B5" s="48" t="s">
        <v>7</v>
      </c>
      <c r="C5" s="49">
        <f>MEDIAN('Estatistica descritiva'!B2:B97)</f>
        <v>5.6325240529274563</v>
      </c>
      <c r="E5" s="50" t="s">
        <v>45</v>
      </c>
      <c r="F5" s="51">
        <f>C4-C3</f>
        <v>1.5992485866356825</v>
      </c>
    </row>
    <row r="6" spans="1:6" ht="13.5" customHeight="1" x14ac:dyDescent="0.2">
      <c r="B6" s="48" t="s">
        <v>46</v>
      </c>
      <c r="C6" s="49">
        <f>_xlfn.QUARTILE.EXC('Estatistica descritiva'!B2:B97,3)</f>
        <v>6.7337166684230727</v>
      </c>
      <c r="E6" s="50" t="s">
        <v>47</v>
      </c>
      <c r="F6" s="51">
        <f>C5-C4</f>
        <v>1.5774712768174428</v>
      </c>
    </row>
    <row r="7" spans="1:6" ht="13.5" customHeight="1" x14ac:dyDescent="0.2">
      <c r="A7" s="46" t="s">
        <v>48</v>
      </c>
      <c r="B7" s="48" t="s">
        <v>49</v>
      </c>
      <c r="C7" s="49">
        <f>MAX('Estatistica descritiva'!B2:B97,)</f>
        <v>10.706293382226505</v>
      </c>
      <c r="E7" s="50" t="s">
        <v>50</v>
      </c>
      <c r="F7" s="51">
        <f>C6-C5</f>
        <v>1.1011926154956164</v>
      </c>
    </row>
    <row r="8" spans="1:6" ht="13.5" customHeight="1" x14ac:dyDescent="0.2">
      <c r="B8" s="48" t="s">
        <v>1</v>
      </c>
      <c r="C8" s="49">
        <f>AVERAGE('Estatistica descritiva'!B2:B97)</f>
        <v>5.7824178173405771</v>
      </c>
      <c r="E8" s="50" t="s">
        <v>51</v>
      </c>
      <c r="F8" s="51">
        <f>C7-C6</f>
        <v>3.9725767138034325</v>
      </c>
    </row>
    <row r="9" spans="1:6" ht="13.5" customHeight="1" x14ac:dyDescent="0.2">
      <c r="E9" s="50" t="s">
        <v>52</v>
      </c>
      <c r="F9" s="51">
        <f>0</f>
        <v>0</v>
      </c>
    </row>
    <row r="11" spans="1:6" ht="13.5" customHeight="1" x14ac:dyDescent="0.2">
      <c r="B11" s="53" t="s">
        <v>53</v>
      </c>
    </row>
    <row r="12" spans="1:6" ht="13.5" customHeight="1" x14ac:dyDescent="0.2">
      <c r="B12" s="46" t="s">
        <v>54</v>
      </c>
    </row>
    <row r="13" spans="1:6" ht="13.5" customHeight="1" x14ac:dyDescent="0.2">
      <c r="B13" s="46" t="s">
        <v>55</v>
      </c>
    </row>
  </sheetData>
  <mergeCells count="1">
    <mergeCell ref="E2:F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97"/>
  <sheetViews>
    <sheetView tabSelected="1" topLeftCell="K10" workbookViewId="0">
      <selection activeCell="O14" sqref="O14"/>
    </sheetView>
  </sheetViews>
  <sheetFormatPr defaultRowHeight="14.25" x14ac:dyDescent="0.2"/>
  <cols>
    <col min="1" max="1" width="10.28515625" style="72" customWidth="1"/>
    <col min="2" max="12" width="16.85546875" style="65" customWidth="1"/>
    <col min="13" max="13" width="24" style="55" bestFit="1" customWidth="1"/>
    <col min="14" max="14" width="24.5703125" style="55" bestFit="1" customWidth="1"/>
    <col min="15" max="15" width="9.5703125" style="55" bestFit="1" customWidth="1"/>
    <col min="16" max="16" width="9.140625" style="55"/>
    <col min="17" max="17" width="9.5703125" style="55" bestFit="1" customWidth="1"/>
    <col min="18" max="16384" width="9.140625" style="55"/>
  </cols>
  <sheetData>
    <row r="1" spans="1:17" s="68" customFormat="1" ht="30.75" thickBot="1" x14ac:dyDescent="0.25">
      <c r="A1" s="67" t="s">
        <v>0</v>
      </c>
      <c r="B1" s="66" t="s">
        <v>56</v>
      </c>
      <c r="C1" s="66" t="s">
        <v>57</v>
      </c>
      <c r="D1" s="66" t="s">
        <v>60</v>
      </c>
      <c r="E1" s="66" t="s">
        <v>61</v>
      </c>
      <c r="F1" s="66" t="s">
        <v>62</v>
      </c>
      <c r="G1" s="66" t="s">
        <v>63</v>
      </c>
      <c r="H1" s="66" t="s">
        <v>64</v>
      </c>
      <c r="I1" s="66" t="s">
        <v>72</v>
      </c>
      <c r="J1" s="66" t="s">
        <v>83</v>
      </c>
      <c r="K1" s="66" t="s">
        <v>81</v>
      </c>
      <c r="L1" s="66" t="s">
        <v>82</v>
      </c>
    </row>
    <row r="2" spans="1:17" ht="15.75" thickBot="1" x14ac:dyDescent="0.3">
      <c r="A2" s="69">
        <v>40969</v>
      </c>
      <c r="B2" s="63">
        <v>5.2399926989787238</v>
      </c>
      <c r="C2" s="63">
        <v>7.9</v>
      </c>
      <c r="D2" s="63">
        <f t="shared" ref="D2:D33" si="0">B2-$O$3</f>
        <v>-0.54242511836185336</v>
      </c>
      <c r="E2" s="63">
        <f>C2-$O$2</f>
        <v>-1.9083333333333332</v>
      </c>
      <c r="F2" s="63">
        <f>E2*D2</f>
        <v>1.0351279342072035</v>
      </c>
      <c r="G2" s="63">
        <f>D2^2</f>
        <v>0.29422500902987064</v>
      </c>
      <c r="H2" s="63">
        <f>E2^2</f>
        <v>3.6417361111111108</v>
      </c>
      <c r="I2" s="63">
        <f>$O$9+$O$10*C2</f>
        <v>6.5421411119755088</v>
      </c>
      <c r="J2" s="63">
        <f>B2-I2</f>
        <v>-1.3021484129967851</v>
      </c>
      <c r="K2" s="63">
        <f>D2</f>
        <v>-0.54242511836185336</v>
      </c>
      <c r="L2" s="63">
        <f>I2-$O$3</f>
        <v>0.75972329463493171</v>
      </c>
      <c r="N2" s="56" t="s">
        <v>58</v>
      </c>
      <c r="O2" s="57">
        <f>AVERAGE(C2:C97)</f>
        <v>9.8083333333333336</v>
      </c>
    </row>
    <row r="3" spans="1:17" ht="15.75" thickBot="1" x14ac:dyDescent="0.3">
      <c r="A3" s="70">
        <v>41000</v>
      </c>
      <c r="B3" s="63">
        <v>5.1042261111959419</v>
      </c>
      <c r="C3" s="63">
        <v>7.7</v>
      </c>
      <c r="D3" s="63">
        <f t="shared" si="0"/>
        <v>-0.6781917061446352</v>
      </c>
      <c r="E3" s="63">
        <f t="shared" ref="E2:E33" si="1">C3-$O$2</f>
        <v>-2.1083333333333334</v>
      </c>
      <c r="F3" s="63">
        <f t="shared" ref="F3:F66" si="2">E3*D3</f>
        <v>1.4298541804549392</v>
      </c>
      <c r="G3" s="63">
        <f t="shared" ref="G3:G66" si="3">D3^2</f>
        <v>0.45994399028337124</v>
      </c>
      <c r="H3" s="63">
        <f t="shared" ref="H3:H66" si="4">E3^2</f>
        <v>4.445069444444445</v>
      </c>
      <c r="I3" s="63">
        <f t="shared" ref="I2:I33" si="5">$O$9+$O$10*C3</f>
        <v>6.6217627673084269</v>
      </c>
      <c r="J3" s="63">
        <f t="shared" ref="J3:J66" si="6">B3-I3</f>
        <v>-1.517536656112485</v>
      </c>
      <c r="K3" s="63">
        <f t="shared" ref="K3:K66" si="7">D3</f>
        <v>-0.6781917061446352</v>
      </c>
      <c r="L3" s="63">
        <f t="shared" ref="L2:L33" si="8">I3-$O$3</f>
        <v>0.83934494996784981</v>
      </c>
      <c r="N3" s="58" t="s">
        <v>59</v>
      </c>
      <c r="O3" s="59">
        <f>AVERAGE(B2:B97)</f>
        <v>5.7824178173405771</v>
      </c>
    </row>
    <row r="4" spans="1:17" ht="15.75" thickBot="1" x14ac:dyDescent="0.3">
      <c r="A4" s="70">
        <v>41030</v>
      </c>
      <c r="B4" s="63">
        <v>4.9891523093423373</v>
      </c>
      <c r="C4" s="63">
        <v>7.6</v>
      </c>
      <c r="D4" s="63">
        <f t="shared" si="0"/>
        <v>-0.7932655079982398</v>
      </c>
      <c r="E4" s="63">
        <f t="shared" si="1"/>
        <v>-2.2083333333333339</v>
      </c>
      <c r="F4" s="63">
        <f t="shared" si="2"/>
        <v>1.7517946634961135</v>
      </c>
      <c r="G4" s="63">
        <f t="shared" si="3"/>
        <v>0.62927016617970544</v>
      </c>
      <c r="H4" s="63">
        <f t="shared" si="4"/>
        <v>4.8767361111111134</v>
      </c>
      <c r="I4" s="63">
        <f t="shared" si="5"/>
        <v>6.6615735949748869</v>
      </c>
      <c r="J4" s="63">
        <f t="shared" si="6"/>
        <v>-1.6724212856325495</v>
      </c>
      <c r="K4" s="63">
        <f t="shared" si="7"/>
        <v>-0.7932655079982398</v>
      </c>
      <c r="L4" s="63">
        <f t="shared" si="8"/>
        <v>0.87915577763430974</v>
      </c>
      <c r="N4" s="58" t="s">
        <v>66</v>
      </c>
      <c r="O4" s="60">
        <f>_xlfn.STDEV.P(C2:C97)</f>
        <v>2.4351876496255693</v>
      </c>
    </row>
    <row r="5" spans="1:17" ht="15.75" thickBot="1" x14ac:dyDescent="0.3">
      <c r="A5" s="70">
        <v>41061</v>
      </c>
      <c r="B5" s="63">
        <v>4.9157699762254925</v>
      </c>
      <c r="C5" s="63">
        <v>7.5</v>
      </c>
      <c r="D5" s="63">
        <f t="shared" si="0"/>
        <v>-0.86664784111508464</v>
      </c>
      <c r="E5" s="63">
        <f t="shared" si="1"/>
        <v>-2.3083333333333336</v>
      </c>
      <c r="F5" s="63">
        <f t="shared" si="2"/>
        <v>2.0005120999073207</v>
      </c>
      <c r="G5" s="63">
        <f t="shared" si="3"/>
        <v>0.75107848050943704</v>
      </c>
      <c r="H5" s="63">
        <f t="shared" si="4"/>
        <v>5.3284027777777787</v>
      </c>
      <c r="I5" s="63">
        <f t="shared" si="5"/>
        <v>6.7013844226413459</v>
      </c>
      <c r="J5" s="63">
        <f t="shared" si="6"/>
        <v>-1.7856144464158534</v>
      </c>
      <c r="K5" s="63">
        <f t="shared" si="7"/>
        <v>-0.86664784111508464</v>
      </c>
      <c r="L5" s="63">
        <f t="shared" si="8"/>
        <v>0.91896660530076879</v>
      </c>
      <c r="N5" s="58" t="s">
        <v>65</v>
      </c>
      <c r="O5" s="60">
        <f>_xlfn.STDEV.P(B2:B97)</f>
        <v>2.2203703432639319</v>
      </c>
    </row>
    <row r="6" spans="1:17" ht="15.75" thickBot="1" x14ac:dyDescent="0.3">
      <c r="A6" s="70">
        <v>41091</v>
      </c>
      <c r="B6" s="63">
        <v>5.198590043054363</v>
      </c>
      <c r="C6" s="63">
        <v>7.4</v>
      </c>
      <c r="D6" s="63">
        <f t="shared" si="0"/>
        <v>-0.58382777428621413</v>
      </c>
      <c r="E6" s="63">
        <f t="shared" si="1"/>
        <v>-2.4083333333333332</v>
      </c>
      <c r="F6" s="63">
        <f t="shared" si="2"/>
        <v>1.4060518897392991</v>
      </c>
      <c r="G6" s="63">
        <f t="shared" si="3"/>
        <v>0.34085487002799458</v>
      </c>
      <c r="H6" s="63">
        <f t="shared" si="4"/>
        <v>5.8000694444444436</v>
      </c>
      <c r="I6" s="63">
        <f t="shared" si="5"/>
        <v>6.741195250307805</v>
      </c>
      <c r="J6" s="63">
        <f t="shared" si="6"/>
        <v>-1.542605207253442</v>
      </c>
      <c r="K6" s="63">
        <f t="shared" si="7"/>
        <v>-0.58382777428621413</v>
      </c>
      <c r="L6" s="63">
        <f t="shared" si="8"/>
        <v>0.95877743296722784</v>
      </c>
      <c r="N6" s="61" t="s">
        <v>37</v>
      </c>
      <c r="O6" s="62"/>
    </row>
    <row r="7" spans="1:17" ht="15.75" thickBot="1" x14ac:dyDescent="0.25">
      <c r="A7" s="70">
        <v>41122</v>
      </c>
      <c r="B7" s="63">
        <v>5.2405143591021996</v>
      </c>
      <c r="C7" s="63">
        <v>7.3</v>
      </c>
      <c r="D7" s="63">
        <f t="shared" si="0"/>
        <v>-0.54190345823837749</v>
      </c>
      <c r="E7" s="63">
        <f t="shared" si="1"/>
        <v>-2.5083333333333337</v>
      </c>
      <c r="F7" s="63">
        <f t="shared" si="2"/>
        <v>1.3592745077479305</v>
      </c>
      <c r="G7" s="63">
        <f t="shared" si="3"/>
        <v>0.29365935805071292</v>
      </c>
      <c r="H7" s="63">
        <f t="shared" si="4"/>
        <v>6.2917361111111134</v>
      </c>
      <c r="I7" s="63">
        <f t="shared" si="5"/>
        <v>6.7810060779742649</v>
      </c>
      <c r="J7" s="63">
        <f t="shared" si="6"/>
        <v>-1.5404917188720653</v>
      </c>
      <c r="K7" s="63">
        <f t="shared" si="7"/>
        <v>-0.54190345823837749</v>
      </c>
      <c r="L7" s="63">
        <f t="shared" si="8"/>
        <v>0.99858826063368777</v>
      </c>
      <c r="N7" s="73" t="s">
        <v>69</v>
      </c>
    </row>
    <row r="8" spans="1:17" ht="15.75" thickBot="1" x14ac:dyDescent="0.25">
      <c r="A8" s="70">
        <v>41153</v>
      </c>
      <c r="B8" s="63">
        <v>5.2823886312037382</v>
      </c>
      <c r="C8" s="63">
        <v>7.1</v>
      </c>
      <c r="D8" s="63">
        <f t="shared" si="0"/>
        <v>-0.50002918613683889</v>
      </c>
      <c r="E8" s="63">
        <f t="shared" si="1"/>
        <v>-2.7083333333333339</v>
      </c>
      <c r="F8" s="63">
        <f t="shared" si="2"/>
        <v>1.3542457124539389</v>
      </c>
      <c r="G8" s="63">
        <f t="shared" si="3"/>
        <v>0.25002918698866949</v>
      </c>
      <c r="H8" s="63">
        <f t="shared" si="4"/>
        <v>7.3350694444444473</v>
      </c>
      <c r="I8" s="63">
        <f t="shared" si="5"/>
        <v>6.860627733307183</v>
      </c>
      <c r="J8" s="63">
        <f t="shared" si="6"/>
        <v>-1.5782391021034448</v>
      </c>
      <c r="K8" s="63">
        <f t="shared" si="7"/>
        <v>-0.50002918613683889</v>
      </c>
      <c r="L8" s="63">
        <f t="shared" si="8"/>
        <v>1.0782099159666059</v>
      </c>
      <c r="N8" s="55" t="s">
        <v>73</v>
      </c>
    </row>
    <row r="9" spans="1:17" ht="15.75" thickBot="1" x14ac:dyDescent="0.3">
      <c r="A9" s="70">
        <v>41183</v>
      </c>
      <c r="B9" s="63">
        <v>5.4501192115182784</v>
      </c>
      <c r="C9" s="63">
        <v>6.9</v>
      </c>
      <c r="D9" s="63">
        <f t="shared" si="0"/>
        <v>-0.33229860582229875</v>
      </c>
      <c r="E9" s="63">
        <f t="shared" si="1"/>
        <v>-2.9083333333333332</v>
      </c>
      <c r="F9" s="63">
        <f t="shared" si="2"/>
        <v>0.96643511193318554</v>
      </c>
      <c r="G9" s="63">
        <f t="shared" si="3"/>
        <v>0.11042236343144349</v>
      </c>
      <c r="H9" s="63">
        <f t="shared" si="4"/>
        <v>8.4584027777777777</v>
      </c>
      <c r="I9" s="63">
        <f t="shared" si="5"/>
        <v>6.9402493886401011</v>
      </c>
      <c r="J9" s="63">
        <f t="shared" si="6"/>
        <v>-1.4901301771218227</v>
      </c>
      <c r="K9" s="63">
        <f t="shared" si="7"/>
        <v>-0.33229860582229875</v>
      </c>
      <c r="L9" s="63">
        <f t="shared" si="8"/>
        <v>1.157831571299524</v>
      </c>
      <c r="N9" s="75" t="s">
        <v>67</v>
      </c>
      <c r="O9" s="76">
        <f>O3-O10*O2</f>
        <v>9.6871964976257949</v>
      </c>
      <c r="P9" s="74" t="s">
        <v>70</v>
      </c>
    </row>
    <row r="10" spans="1:17" ht="15.75" thickBot="1" x14ac:dyDescent="0.25">
      <c r="A10" s="70">
        <v>41214</v>
      </c>
      <c r="B10" s="63">
        <v>5.5340429036881966</v>
      </c>
      <c r="C10" s="63">
        <v>6.8</v>
      </c>
      <c r="D10" s="63">
        <f t="shared" si="0"/>
        <v>-0.24837491365238051</v>
      </c>
      <c r="E10" s="63">
        <f t="shared" si="1"/>
        <v>-3.0083333333333337</v>
      </c>
      <c r="F10" s="63">
        <f t="shared" si="2"/>
        <v>0.74719453190424479</v>
      </c>
      <c r="G10" s="63">
        <f t="shared" si="3"/>
        <v>6.1690097731827473E-2</v>
      </c>
      <c r="H10" s="63">
        <f t="shared" si="4"/>
        <v>9.0500694444444463</v>
      </c>
      <c r="I10" s="63">
        <f t="shared" si="5"/>
        <v>6.9800602163065619</v>
      </c>
      <c r="J10" s="63">
        <f t="shared" si="6"/>
        <v>-1.4460173126183653</v>
      </c>
      <c r="K10" s="63">
        <f t="shared" si="7"/>
        <v>-0.24837491365238051</v>
      </c>
      <c r="L10" s="63">
        <f t="shared" si="8"/>
        <v>1.1976423989659848</v>
      </c>
      <c r="N10" s="77" t="s">
        <v>68</v>
      </c>
      <c r="O10" s="78">
        <f>SUM(F2:F97)/SUM(H2:H97)</f>
        <v>-0.3981082766645932</v>
      </c>
      <c r="P10" s="74" t="s">
        <v>71</v>
      </c>
    </row>
    <row r="11" spans="1:17" ht="15.75" thickBot="1" x14ac:dyDescent="0.25">
      <c r="A11" s="70">
        <v>41244</v>
      </c>
      <c r="B11" s="63">
        <v>5.8385689976391042</v>
      </c>
      <c r="C11" s="63">
        <v>6.9</v>
      </c>
      <c r="D11" s="63">
        <f t="shared" si="0"/>
        <v>5.6151180298527059E-2</v>
      </c>
      <c r="E11" s="63">
        <f t="shared" si="1"/>
        <v>-2.9083333333333332</v>
      </c>
      <c r="F11" s="63">
        <f t="shared" si="2"/>
        <v>-0.1633063493682162</v>
      </c>
      <c r="G11" s="63">
        <f t="shared" si="3"/>
        <v>3.1529550489176935E-3</v>
      </c>
      <c r="H11" s="63">
        <f t="shared" si="4"/>
        <v>8.4584027777777777</v>
      </c>
      <c r="I11" s="63">
        <f t="shared" si="5"/>
        <v>6.9402493886401011</v>
      </c>
      <c r="J11" s="63">
        <f t="shared" si="6"/>
        <v>-1.1016803910009969</v>
      </c>
      <c r="K11" s="63">
        <f t="shared" si="7"/>
        <v>5.6151180298527059E-2</v>
      </c>
      <c r="L11" s="63">
        <f t="shared" si="8"/>
        <v>1.157831571299524</v>
      </c>
      <c r="N11" s="85" t="s">
        <v>91</v>
      </c>
      <c r="O11" s="86"/>
    </row>
    <row r="12" spans="1:17" ht="15.75" thickBot="1" x14ac:dyDescent="0.25">
      <c r="A12" s="70">
        <v>41275</v>
      </c>
      <c r="B12" s="63">
        <v>6.1543165185151461</v>
      </c>
      <c r="C12" s="63">
        <v>7.2</v>
      </c>
      <c r="D12" s="63">
        <f t="shared" si="0"/>
        <v>0.37189870117456891</v>
      </c>
      <c r="E12" s="63">
        <f t="shared" si="1"/>
        <v>-2.6083333333333334</v>
      </c>
      <c r="F12" s="63">
        <f t="shared" si="2"/>
        <v>-0.97003577889700066</v>
      </c>
      <c r="G12" s="63">
        <f t="shared" si="3"/>
        <v>0.13830864393533129</v>
      </c>
      <c r="H12" s="63">
        <f t="shared" si="4"/>
        <v>6.8034027777777784</v>
      </c>
      <c r="I12" s="63">
        <f t="shared" si="5"/>
        <v>6.820816905640724</v>
      </c>
      <c r="J12" s="63">
        <f t="shared" si="6"/>
        <v>-0.66650038712557791</v>
      </c>
      <c r="K12" s="63">
        <f t="shared" si="7"/>
        <v>0.37189870117456891</v>
      </c>
      <c r="L12" s="63">
        <f t="shared" si="8"/>
        <v>1.0383990883001468</v>
      </c>
      <c r="N12" s="75" t="s">
        <v>74</v>
      </c>
      <c r="O12" s="79">
        <f>O14*((1/COUNT(J2:J97))+(O2^2/SUM(H2:H97)))</f>
        <v>0.73108467117548015</v>
      </c>
      <c r="P12" s="75" t="s">
        <v>77</v>
      </c>
      <c r="Q12" s="83">
        <f>O9/SQRT(O12)</f>
        <v>11.329591993887691</v>
      </c>
    </row>
    <row r="13" spans="1:17" ht="15.75" thickBot="1" x14ac:dyDescent="0.25">
      <c r="A13" s="70">
        <v>41306</v>
      </c>
      <c r="B13" s="63">
        <v>6.3128346616487807</v>
      </c>
      <c r="C13" s="63">
        <v>7.7</v>
      </c>
      <c r="D13" s="63">
        <f t="shared" si="0"/>
        <v>0.53041684430820357</v>
      </c>
      <c r="E13" s="63">
        <f t="shared" si="1"/>
        <v>-2.1083333333333334</v>
      </c>
      <c r="F13" s="63">
        <f t="shared" si="2"/>
        <v>-1.1182955134164625</v>
      </c>
      <c r="G13" s="63">
        <f t="shared" si="3"/>
        <v>0.28134202872587305</v>
      </c>
      <c r="H13" s="63">
        <f t="shared" si="4"/>
        <v>4.445069444444445</v>
      </c>
      <c r="I13" s="63">
        <f t="shared" si="5"/>
        <v>6.6217627673084269</v>
      </c>
      <c r="J13" s="63">
        <f t="shared" si="6"/>
        <v>-0.30892810565964623</v>
      </c>
      <c r="K13" s="63">
        <f t="shared" si="7"/>
        <v>0.53041684430820357</v>
      </c>
      <c r="L13" s="63">
        <f t="shared" si="8"/>
        <v>0.83934494996784981</v>
      </c>
      <c r="N13" s="80" t="s">
        <v>75</v>
      </c>
      <c r="O13" s="81">
        <f>O14/SUM(H2:H97)</f>
        <v>7.158125129563429E-3</v>
      </c>
      <c r="P13" s="77" t="s">
        <v>78</v>
      </c>
      <c r="Q13" s="84">
        <f>O10/SQRT(O13)</f>
        <v>-4.7054543416413255</v>
      </c>
    </row>
    <row r="14" spans="1:17" ht="15.75" thickBot="1" x14ac:dyDescent="0.25">
      <c r="A14" s="70">
        <v>41334</v>
      </c>
      <c r="B14" s="63">
        <v>6.5886687801203436</v>
      </c>
      <c r="C14" s="63">
        <v>8</v>
      </c>
      <c r="D14" s="63">
        <f t="shared" si="0"/>
        <v>0.80625096277976649</v>
      </c>
      <c r="E14" s="63">
        <f t="shared" si="1"/>
        <v>-1.8083333333333336</v>
      </c>
      <c r="F14" s="63">
        <f t="shared" si="2"/>
        <v>-1.4579704910267446</v>
      </c>
      <c r="G14" s="63">
        <f t="shared" si="3"/>
        <v>0.65004061498330046</v>
      </c>
      <c r="H14" s="63">
        <f t="shared" si="4"/>
        <v>3.2700694444444451</v>
      </c>
      <c r="I14" s="63">
        <f t="shared" si="5"/>
        <v>6.5023302843090498</v>
      </c>
      <c r="J14" s="63">
        <f t="shared" si="6"/>
        <v>8.6338495811293825E-2</v>
      </c>
      <c r="K14" s="63">
        <f t="shared" si="7"/>
        <v>0.80625096277976649</v>
      </c>
      <c r="L14" s="63">
        <f t="shared" si="8"/>
        <v>0.71991246696847266</v>
      </c>
      <c r="N14" s="77" t="s">
        <v>76</v>
      </c>
      <c r="O14" s="82">
        <f>SUMSQ(J2:J97)/(COUNT(J2:J97)-2)</f>
        <v>4.075072915426265</v>
      </c>
      <c r="P14" s="55" t="s">
        <v>79</v>
      </c>
      <c r="Q14" s="54">
        <f>COUNT(J2:J97)-2</f>
        <v>94</v>
      </c>
    </row>
    <row r="15" spans="1:17" ht="15.75" thickBot="1" x14ac:dyDescent="0.25">
      <c r="A15" s="70">
        <v>41365</v>
      </c>
      <c r="B15" s="63">
        <v>6.4933490246532166</v>
      </c>
      <c r="C15" s="63">
        <v>7.8</v>
      </c>
      <c r="D15" s="63">
        <f t="shared" si="0"/>
        <v>0.71093120731263948</v>
      </c>
      <c r="E15" s="63">
        <f t="shared" si="1"/>
        <v>-2.0083333333333337</v>
      </c>
      <c r="F15" s="63">
        <f t="shared" si="2"/>
        <v>-1.4277868413528845</v>
      </c>
      <c r="G15" s="63">
        <f t="shared" si="3"/>
        <v>0.50542318153100718</v>
      </c>
      <c r="H15" s="63">
        <f t="shared" si="4"/>
        <v>4.0334027777777797</v>
      </c>
      <c r="I15" s="63">
        <f t="shared" si="5"/>
        <v>6.5819519396419679</v>
      </c>
      <c r="J15" s="63">
        <f t="shared" si="6"/>
        <v>-8.860291498875128E-2</v>
      </c>
      <c r="K15" s="63">
        <f t="shared" si="7"/>
        <v>0.71093120731263948</v>
      </c>
      <c r="L15" s="63">
        <f t="shared" si="8"/>
        <v>0.79953412230139076</v>
      </c>
      <c r="P15" s="55" t="s">
        <v>80</v>
      </c>
    </row>
    <row r="16" spans="1:17" ht="15.75" thickBot="1" x14ac:dyDescent="0.25">
      <c r="A16" s="70">
        <v>41395</v>
      </c>
      <c r="B16" s="63">
        <v>6.5039601594703234</v>
      </c>
      <c r="C16" s="63">
        <v>7.6</v>
      </c>
      <c r="D16" s="63">
        <f t="shared" si="0"/>
        <v>0.72154234212974622</v>
      </c>
      <c r="E16" s="63">
        <f t="shared" si="1"/>
        <v>-2.2083333333333339</v>
      </c>
      <c r="F16" s="63">
        <f t="shared" si="2"/>
        <v>-1.5934060055365233</v>
      </c>
      <c r="G16" s="63">
        <f t="shared" si="3"/>
        <v>0.52062335148607974</v>
      </c>
      <c r="H16" s="63">
        <f t="shared" si="4"/>
        <v>4.8767361111111134</v>
      </c>
      <c r="I16" s="63">
        <f t="shared" si="5"/>
        <v>6.6615735949748869</v>
      </c>
      <c r="J16" s="63">
        <f t="shared" si="6"/>
        <v>-0.15761343550456353</v>
      </c>
      <c r="K16" s="63">
        <f t="shared" si="7"/>
        <v>0.72154234212974622</v>
      </c>
      <c r="L16" s="63">
        <f t="shared" si="8"/>
        <v>0.87915577763430974</v>
      </c>
    </row>
    <row r="17" spans="1:18" ht="15.75" thickBot="1" x14ac:dyDescent="0.25">
      <c r="A17" s="70">
        <v>41426</v>
      </c>
      <c r="B17" s="63">
        <v>6.6955140446492312</v>
      </c>
      <c r="C17" s="63">
        <v>7.4</v>
      </c>
      <c r="D17" s="63">
        <f t="shared" si="0"/>
        <v>0.91309622730865403</v>
      </c>
      <c r="E17" s="63">
        <f t="shared" si="1"/>
        <v>-2.4083333333333332</v>
      </c>
      <c r="F17" s="63">
        <f t="shared" si="2"/>
        <v>-2.1990400807683419</v>
      </c>
      <c r="G17" s="63">
        <f t="shared" si="3"/>
        <v>0.83374472032529723</v>
      </c>
      <c r="H17" s="63">
        <f t="shared" si="4"/>
        <v>5.8000694444444436</v>
      </c>
      <c r="I17" s="63">
        <f t="shared" si="5"/>
        <v>6.741195250307805</v>
      </c>
      <c r="J17" s="63">
        <f t="shared" si="6"/>
        <v>-4.5681205658573809E-2</v>
      </c>
      <c r="K17" s="63">
        <f t="shared" si="7"/>
        <v>0.91309622730865403</v>
      </c>
      <c r="L17" s="63">
        <f t="shared" si="8"/>
        <v>0.95877743296722784</v>
      </c>
      <c r="N17" s="75" t="s">
        <v>84</v>
      </c>
      <c r="O17" s="87">
        <f>SUMSQ(K2:K97)</f>
        <v>473.28426827961755</v>
      </c>
      <c r="P17" s="88" t="s">
        <v>87</v>
      </c>
    </row>
    <row r="18" spans="1:18" ht="15.75" thickBot="1" x14ac:dyDescent="0.25">
      <c r="A18" s="70">
        <v>41456</v>
      </c>
      <c r="B18" s="63">
        <v>6.2705592938988364</v>
      </c>
      <c r="C18" s="63">
        <v>7.3</v>
      </c>
      <c r="D18" s="63">
        <f t="shared" si="0"/>
        <v>0.48814147655825924</v>
      </c>
      <c r="E18" s="63">
        <f t="shared" si="1"/>
        <v>-2.5083333333333337</v>
      </c>
      <c r="F18" s="63">
        <f t="shared" si="2"/>
        <v>-1.2244215370336338</v>
      </c>
      <c r="G18" s="63">
        <f t="shared" si="3"/>
        <v>0.23828210113647755</v>
      </c>
      <c r="H18" s="63">
        <f t="shared" si="4"/>
        <v>6.2917361111111134</v>
      </c>
      <c r="I18" s="63">
        <f t="shared" si="5"/>
        <v>6.7810060779742649</v>
      </c>
      <c r="J18" s="63">
        <f t="shared" si="6"/>
        <v>-0.51044678407542854</v>
      </c>
      <c r="K18" s="63">
        <f t="shared" si="7"/>
        <v>0.48814147655825924</v>
      </c>
      <c r="L18" s="63">
        <f t="shared" si="8"/>
        <v>0.99858826063368777</v>
      </c>
      <c r="N18" s="80" t="s">
        <v>85</v>
      </c>
      <c r="O18" s="89">
        <f>SUMSQ(J2:J97)</f>
        <v>383.05685405006892</v>
      </c>
      <c r="P18" s="90" t="s">
        <v>88</v>
      </c>
    </row>
    <row r="19" spans="1:18" ht="15.75" thickBot="1" x14ac:dyDescent="0.25">
      <c r="A19" s="70">
        <v>41487</v>
      </c>
      <c r="B19" s="63">
        <v>6.0906370244041774</v>
      </c>
      <c r="C19" s="63">
        <v>7.1</v>
      </c>
      <c r="D19" s="63">
        <f t="shared" si="0"/>
        <v>0.30821920706360029</v>
      </c>
      <c r="E19" s="63">
        <f t="shared" si="1"/>
        <v>-2.7083333333333339</v>
      </c>
      <c r="F19" s="63">
        <f t="shared" si="2"/>
        <v>-0.83476035246391767</v>
      </c>
      <c r="G19" s="63">
        <f t="shared" si="3"/>
        <v>9.499907960291451E-2</v>
      </c>
      <c r="H19" s="63">
        <f t="shared" si="4"/>
        <v>7.3350694444444473</v>
      </c>
      <c r="I19" s="63">
        <f t="shared" si="5"/>
        <v>6.860627733307183</v>
      </c>
      <c r="J19" s="63">
        <f t="shared" si="6"/>
        <v>-0.76999070890300558</v>
      </c>
      <c r="K19" s="63">
        <f t="shared" si="7"/>
        <v>0.30821920706360029</v>
      </c>
      <c r="L19" s="63">
        <f t="shared" si="8"/>
        <v>1.0782099159666059</v>
      </c>
      <c r="N19" s="80" t="s">
        <v>86</v>
      </c>
      <c r="O19" s="89">
        <f>SUMSQ(L2:L97)</f>
        <v>90.227414229548629</v>
      </c>
      <c r="P19" s="90" t="s">
        <v>89</v>
      </c>
    </row>
    <row r="20" spans="1:18" ht="15.75" thickBot="1" x14ac:dyDescent="0.25">
      <c r="A20" s="70">
        <v>41518</v>
      </c>
      <c r="B20" s="63">
        <v>5.8585604593711649</v>
      </c>
      <c r="C20" s="63">
        <v>6.9</v>
      </c>
      <c r="D20" s="63">
        <f t="shared" si="0"/>
        <v>7.6142642030587737E-2</v>
      </c>
      <c r="E20" s="63">
        <f t="shared" si="1"/>
        <v>-2.9083333333333332</v>
      </c>
      <c r="F20" s="63">
        <f t="shared" si="2"/>
        <v>-0.22144818390562598</v>
      </c>
      <c r="G20" s="63">
        <f t="shared" si="3"/>
        <v>5.7977019353982265E-3</v>
      </c>
      <c r="H20" s="63">
        <f t="shared" si="4"/>
        <v>8.4584027777777777</v>
      </c>
      <c r="I20" s="63">
        <f t="shared" si="5"/>
        <v>6.9402493886401011</v>
      </c>
      <c r="J20" s="63">
        <f t="shared" si="6"/>
        <v>-1.0816889292689362</v>
      </c>
      <c r="K20" s="63">
        <f t="shared" si="7"/>
        <v>7.6142642030587737E-2</v>
      </c>
      <c r="L20" s="63">
        <f t="shared" si="8"/>
        <v>1.157831571299524</v>
      </c>
      <c r="N20" s="77" t="s">
        <v>90</v>
      </c>
      <c r="O20" s="91"/>
      <c r="P20" s="62"/>
    </row>
    <row r="21" spans="1:18" ht="15.75" thickBot="1" x14ac:dyDescent="0.25">
      <c r="A21" s="70">
        <v>41548</v>
      </c>
      <c r="B21" s="63">
        <v>5.8375129277160376</v>
      </c>
      <c r="C21" s="63">
        <v>6.7</v>
      </c>
      <c r="D21" s="63">
        <f t="shared" si="0"/>
        <v>5.5095110375460443E-2</v>
      </c>
      <c r="E21" s="63">
        <f t="shared" si="1"/>
        <v>-3.1083333333333334</v>
      </c>
      <c r="F21" s="63">
        <f t="shared" si="2"/>
        <v>-0.17125396808372287</v>
      </c>
      <c r="G21" s="63">
        <f t="shared" si="3"/>
        <v>3.0354711872841692E-3</v>
      </c>
      <c r="H21" s="63">
        <f t="shared" si="4"/>
        <v>9.6617361111111109</v>
      </c>
      <c r="I21" s="63">
        <f t="shared" si="5"/>
        <v>7.019871043973021</v>
      </c>
      <c r="J21" s="63">
        <f t="shared" si="6"/>
        <v>-1.1823581162569834</v>
      </c>
      <c r="K21" s="63">
        <f t="shared" si="7"/>
        <v>5.5095110375460443E-2</v>
      </c>
      <c r="L21" s="63">
        <f t="shared" si="8"/>
        <v>1.2374532266324438</v>
      </c>
    </row>
    <row r="22" spans="1:18" ht="15.75" thickBot="1" x14ac:dyDescent="0.25">
      <c r="A22" s="70">
        <v>41579</v>
      </c>
      <c r="B22" s="63">
        <v>5.7743891625503752</v>
      </c>
      <c r="C22" s="63">
        <v>6.5</v>
      </c>
      <c r="D22" s="63">
        <f t="shared" si="0"/>
        <v>-8.0286547902019834E-3</v>
      </c>
      <c r="E22" s="63">
        <f t="shared" si="1"/>
        <v>-3.3083333333333336</v>
      </c>
      <c r="F22" s="63">
        <f t="shared" si="2"/>
        <v>2.6561466264251564E-2</v>
      </c>
      <c r="G22" s="63">
        <f t="shared" si="3"/>
        <v>6.4459297740233253E-5</v>
      </c>
      <c r="H22" s="63">
        <f t="shared" si="4"/>
        <v>10.945069444444446</v>
      </c>
      <c r="I22" s="63">
        <f t="shared" si="5"/>
        <v>7.0994926993059391</v>
      </c>
      <c r="J22" s="63">
        <f t="shared" si="6"/>
        <v>-1.3251035367555639</v>
      </c>
      <c r="K22" s="63">
        <f t="shared" si="7"/>
        <v>-8.0286547902019834E-3</v>
      </c>
      <c r="L22" s="63">
        <f t="shared" si="8"/>
        <v>1.3170748819653619</v>
      </c>
      <c r="N22" s="85" t="s">
        <v>92</v>
      </c>
      <c r="O22" s="93"/>
      <c r="P22" s="93"/>
      <c r="Q22" s="93"/>
      <c r="R22" s="86"/>
    </row>
    <row r="23" spans="1:18" ht="15.75" thickBot="1" x14ac:dyDescent="0.25">
      <c r="A23" s="70">
        <v>41609</v>
      </c>
      <c r="B23" s="63">
        <v>5.9108180800137911</v>
      </c>
      <c r="C23" s="63">
        <v>6.2</v>
      </c>
      <c r="D23" s="63">
        <f t="shared" si="0"/>
        <v>0.12840026267321392</v>
      </c>
      <c r="E23" s="63">
        <f t="shared" si="1"/>
        <v>-3.6083333333333334</v>
      </c>
      <c r="F23" s="63">
        <f t="shared" si="2"/>
        <v>-0.46331094781251353</v>
      </c>
      <c r="G23" s="63">
        <f t="shared" si="3"/>
        <v>1.6486627454550332E-2</v>
      </c>
      <c r="H23" s="63">
        <f t="shared" si="4"/>
        <v>13.020069444444445</v>
      </c>
      <c r="I23" s="63">
        <f t="shared" si="5"/>
        <v>7.2189251823053171</v>
      </c>
      <c r="J23" s="63">
        <f t="shared" si="6"/>
        <v>-1.308107102291526</v>
      </c>
      <c r="K23" s="63">
        <f t="shared" si="7"/>
        <v>0.12840026267321392</v>
      </c>
      <c r="L23" s="63">
        <f t="shared" si="8"/>
        <v>1.43650736496474</v>
      </c>
      <c r="N23" s="80" t="s">
        <v>93</v>
      </c>
      <c r="O23" s="89" t="s">
        <v>95</v>
      </c>
      <c r="P23" s="89" t="s">
        <v>100</v>
      </c>
      <c r="Q23" s="89" t="s">
        <v>96</v>
      </c>
      <c r="R23" s="90" t="s">
        <v>97</v>
      </c>
    </row>
    <row r="24" spans="1:18" ht="15.75" thickBot="1" x14ac:dyDescent="0.25">
      <c r="A24" s="70">
        <v>41640</v>
      </c>
      <c r="B24" s="63">
        <v>5.5852940506185611</v>
      </c>
      <c r="C24" s="63">
        <v>6.4</v>
      </c>
      <c r="D24" s="63">
        <f t="shared" si="0"/>
        <v>-0.19712376672201604</v>
      </c>
      <c r="E24" s="63">
        <f t="shared" si="1"/>
        <v>-3.4083333333333332</v>
      </c>
      <c r="F24" s="63">
        <f t="shared" si="2"/>
        <v>0.67186350491087132</v>
      </c>
      <c r="G24" s="63">
        <f t="shared" si="3"/>
        <v>3.8857779406675799E-2</v>
      </c>
      <c r="H24" s="63">
        <f t="shared" si="4"/>
        <v>11.616736111111111</v>
      </c>
      <c r="I24" s="63">
        <f t="shared" si="5"/>
        <v>7.1393035269723981</v>
      </c>
      <c r="J24" s="63">
        <f t="shared" si="6"/>
        <v>-1.554009476353837</v>
      </c>
      <c r="K24" s="63">
        <f t="shared" si="7"/>
        <v>-0.19712376672201604</v>
      </c>
      <c r="L24" s="63">
        <f t="shared" si="8"/>
        <v>1.356885709631821</v>
      </c>
      <c r="N24" s="80" t="s">
        <v>94</v>
      </c>
      <c r="O24" s="55">
        <v>1</v>
      </c>
      <c r="P24" s="89">
        <f>O19</f>
        <v>90.227414229548629</v>
      </c>
      <c r="Q24" s="89">
        <f>P24</f>
        <v>90.227414229548629</v>
      </c>
      <c r="R24" s="90"/>
    </row>
    <row r="25" spans="1:18" ht="15.75" thickBot="1" x14ac:dyDescent="0.25">
      <c r="A25" s="70">
        <v>41671</v>
      </c>
      <c r="B25" s="63">
        <v>5.6797540552363524</v>
      </c>
      <c r="C25" s="63">
        <v>6.7</v>
      </c>
      <c r="D25" s="63">
        <f t="shared" si="0"/>
        <v>-0.10266376210422479</v>
      </c>
      <c r="E25" s="63">
        <f t="shared" si="1"/>
        <v>-3.1083333333333334</v>
      </c>
      <c r="F25" s="63">
        <f t="shared" si="2"/>
        <v>0.31911319387396536</v>
      </c>
      <c r="G25" s="63">
        <f t="shared" si="3"/>
        <v>1.0539848049392862E-2</v>
      </c>
      <c r="H25" s="63">
        <f t="shared" si="4"/>
        <v>9.6617361111111109</v>
      </c>
      <c r="I25" s="63">
        <f t="shared" si="5"/>
        <v>7.019871043973021</v>
      </c>
      <c r="J25" s="63">
        <f t="shared" si="6"/>
        <v>-1.3401169887366686</v>
      </c>
      <c r="K25" s="63">
        <f t="shared" si="7"/>
        <v>-0.10266376210422479</v>
      </c>
      <c r="L25" s="63">
        <f t="shared" si="8"/>
        <v>1.2374532266324438</v>
      </c>
      <c r="N25" s="80" t="s">
        <v>98</v>
      </c>
      <c r="O25" s="89">
        <f>Q14</f>
        <v>94</v>
      </c>
      <c r="P25" s="89">
        <f>O18</f>
        <v>383.05685405006892</v>
      </c>
      <c r="Q25" s="89"/>
      <c r="R25" s="90"/>
    </row>
    <row r="26" spans="1:18" ht="15.75" thickBot="1" x14ac:dyDescent="0.25">
      <c r="A26" s="70">
        <v>41699</v>
      </c>
      <c r="B26" s="63">
        <v>6.1530882776396734</v>
      </c>
      <c r="C26" s="63">
        <v>7.2</v>
      </c>
      <c r="D26" s="63">
        <f t="shared" si="0"/>
        <v>0.37067046029909623</v>
      </c>
      <c r="E26" s="63">
        <f t="shared" si="1"/>
        <v>-2.6083333333333334</v>
      </c>
      <c r="F26" s="63">
        <f t="shared" si="2"/>
        <v>-0.96683211728014273</v>
      </c>
      <c r="G26" s="63">
        <f t="shared" si="3"/>
        <v>0.13739659013834388</v>
      </c>
      <c r="H26" s="63">
        <f t="shared" si="4"/>
        <v>6.8034027777777784</v>
      </c>
      <c r="I26" s="63">
        <f t="shared" si="5"/>
        <v>6.820816905640724</v>
      </c>
      <c r="J26" s="63">
        <f t="shared" si="6"/>
        <v>-0.66772862800105059</v>
      </c>
      <c r="K26" s="63">
        <f t="shared" si="7"/>
        <v>0.37067046029909623</v>
      </c>
      <c r="L26" s="63">
        <f t="shared" si="8"/>
        <v>1.0383990883001468</v>
      </c>
      <c r="N26" s="77" t="s">
        <v>99</v>
      </c>
      <c r="O26" s="92"/>
      <c r="P26" s="92"/>
      <c r="Q26" s="92"/>
      <c r="R26" s="62"/>
    </row>
    <row r="27" spans="1:18" ht="15.75" thickBot="1" x14ac:dyDescent="0.25">
      <c r="A27" s="70">
        <v>41730</v>
      </c>
      <c r="B27" s="63">
        <v>6.279775205469762</v>
      </c>
      <c r="C27" s="63">
        <v>7.1</v>
      </c>
      <c r="D27" s="63">
        <f t="shared" si="0"/>
        <v>0.49735738812918484</v>
      </c>
      <c r="E27" s="63">
        <f t="shared" si="1"/>
        <v>-2.7083333333333339</v>
      </c>
      <c r="F27" s="63">
        <f t="shared" si="2"/>
        <v>-1.347009592849876</v>
      </c>
      <c r="G27" s="63">
        <f t="shared" si="3"/>
        <v>0.24736437152668461</v>
      </c>
      <c r="H27" s="63">
        <f t="shared" si="4"/>
        <v>7.3350694444444473</v>
      </c>
      <c r="I27" s="63">
        <f t="shared" si="5"/>
        <v>6.860627733307183</v>
      </c>
      <c r="J27" s="63">
        <f t="shared" si="6"/>
        <v>-0.58085252783742103</v>
      </c>
      <c r="K27" s="63">
        <f t="shared" si="7"/>
        <v>0.49735738812918484</v>
      </c>
      <c r="L27" s="63">
        <f t="shared" si="8"/>
        <v>1.0782099159666059</v>
      </c>
      <c r="Q27" s="55" t="s">
        <v>101</v>
      </c>
      <c r="R27" s="54" t="e">
        <f>FINV(5%,O55,O56)</f>
        <v>#NUM!</v>
      </c>
    </row>
    <row r="28" spans="1:18" ht="15.75" thickBot="1" x14ac:dyDescent="0.25">
      <c r="A28" s="70">
        <v>41760</v>
      </c>
      <c r="B28" s="63">
        <v>6.3750743961491718</v>
      </c>
      <c r="C28" s="63">
        <v>7</v>
      </c>
      <c r="D28" s="63">
        <f t="shared" si="0"/>
        <v>0.59265657880859468</v>
      </c>
      <c r="E28" s="63">
        <f t="shared" si="1"/>
        <v>-2.8083333333333336</v>
      </c>
      <c r="F28" s="63">
        <f t="shared" si="2"/>
        <v>-1.6643772254874702</v>
      </c>
      <c r="G28" s="63">
        <f t="shared" si="3"/>
        <v>0.35124182040510799</v>
      </c>
      <c r="H28" s="63">
        <f t="shared" si="4"/>
        <v>7.8867361111111123</v>
      </c>
      <c r="I28" s="63">
        <f t="shared" si="5"/>
        <v>6.9004385609736421</v>
      </c>
      <c r="J28" s="63">
        <f t="shared" si="6"/>
        <v>-0.52536416482447024</v>
      </c>
      <c r="K28" s="63">
        <f t="shared" si="7"/>
        <v>0.59265657880859468</v>
      </c>
      <c r="L28" s="63">
        <f t="shared" si="8"/>
        <v>1.1180207436330649</v>
      </c>
    </row>
    <row r="29" spans="1:18" ht="15.75" thickBot="1" x14ac:dyDescent="0.25">
      <c r="A29" s="70">
        <v>41791</v>
      </c>
      <c r="B29" s="63">
        <v>6.5236132991559836</v>
      </c>
      <c r="C29" s="63">
        <v>6.8</v>
      </c>
      <c r="D29" s="63">
        <f t="shared" si="0"/>
        <v>0.74119548181540651</v>
      </c>
      <c r="E29" s="63">
        <f t="shared" si="1"/>
        <v>-3.0083333333333337</v>
      </c>
      <c r="F29" s="63">
        <f t="shared" si="2"/>
        <v>-2.2297630744613484</v>
      </c>
      <c r="G29" s="63">
        <f t="shared" si="3"/>
        <v>0.54937074226357263</v>
      </c>
      <c r="H29" s="63">
        <f t="shared" si="4"/>
        <v>9.0500694444444463</v>
      </c>
      <c r="I29" s="63">
        <f t="shared" si="5"/>
        <v>6.9800602163065619</v>
      </c>
      <c r="J29" s="63">
        <f t="shared" si="6"/>
        <v>-0.45644691715057828</v>
      </c>
      <c r="K29" s="63">
        <f t="shared" si="7"/>
        <v>0.74119548181540651</v>
      </c>
      <c r="L29" s="63">
        <f t="shared" si="8"/>
        <v>1.1976423989659848</v>
      </c>
    </row>
    <row r="30" spans="1:18" ht="15.75" thickBot="1" x14ac:dyDescent="0.25">
      <c r="A30" s="70">
        <v>41821</v>
      </c>
      <c r="B30" s="63">
        <v>6.50231496599607</v>
      </c>
      <c r="C30" s="63">
        <v>6.9</v>
      </c>
      <c r="D30" s="63">
        <f t="shared" si="0"/>
        <v>0.71989714865549281</v>
      </c>
      <c r="E30" s="63">
        <f t="shared" si="1"/>
        <v>-2.9083333333333332</v>
      </c>
      <c r="F30" s="63">
        <f t="shared" si="2"/>
        <v>-2.0937008740063914</v>
      </c>
      <c r="G30" s="63">
        <f t="shared" si="3"/>
        <v>0.51825190464230875</v>
      </c>
      <c r="H30" s="63">
        <f t="shared" si="4"/>
        <v>8.4584027777777777</v>
      </c>
      <c r="I30" s="63">
        <f t="shared" si="5"/>
        <v>6.9402493886401011</v>
      </c>
      <c r="J30" s="63">
        <f t="shared" si="6"/>
        <v>-0.43793442264403115</v>
      </c>
      <c r="K30" s="63">
        <f t="shared" si="7"/>
        <v>0.71989714865549281</v>
      </c>
      <c r="L30" s="63">
        <f t="shared" si="8"/>
        <v>1.157831571299524</v>
      </c>
    </row>
    <row r="31" spans="1:18" ht="15.75" thickBot="1" x14ac:dyDescent="0.25">
      <c r="A31" s="70">
        <v>41852</v>
      </c>
      <c r="B31" s="63">
        <v>6.5129396981355558</v>
      </c>
      <c r="C31" s="63">
        <v>6.9</v>
      </c>
      <c r="D31" s="63">
        <f t="shared" si="0"/>
        <v>0.73052188079497871</v>
      </c>
      <c r="E31" s="63">
        <f t="shared" si="1"/>
        <v>-2.9083333333333332</v>
      </c>
      <c r="F31" s="63">
        <f t="shared" si="2"/>
        <v>-2.1246011366453965</v>
      </c>
      <c r="G31" s="63">
        <f t="shared" si="3"/>
        <v>0.53366221832023308</v>
      </c>
      <c r="H31" s="63">
        <f t="shared" si="4"/>
        <v>8.4584027777777777</v>
      </c>
      <c r="I31" s="63">
        <f t="shared" si="5"/>
        <v>6.9402493886401011</v>
      </c>
      <c r="J31" s="63">
        <f t="shared" si="6"/>
        <v>-0.42730969050454526</v>
      </c>
      <c r="K31" s="63">
        <f t="shared" si="7"/>
        <v>0.73052188079497871</v>
      </c>
      <c r="L31" s="63">
        <f t="shared" si="8"/>
        <v>1.157831571299524</v>
      </c>
    </row>
    <row r="32" spans="1:18" ht="15.75" thickBot="1" x14ac:dyDescent="0.25">
      <c r="A32" s="70">
        <v>41883</v>
      </c>
      <c r="B32" s="63">
        <v>6.7464508763476871</v>
      </c>
      <c r="C32" s="63">
        <v>6.8</v>
      </c>
      <c r="D32" s="63">
        <f t="shared" si="0"/>
        <v>0.96403305900711</v>
      </c>
      <c r="E32" s="63">
        <f t="shared" si="1"/>
        <v>-3.0083333333333337</v>
      </c>
      <c r="F32" s="63">
        <f t="shared" si="2"/>
        <v>-2.9001327858463894</v>
      </c>
      <c r="G32" s="63">
        <f t="shared" si="3"/>
        <v>0.92935973885860601</v>
      </c>
      <c r="H32" s="63">
        <f t="shared" si="4"/>
        <v>9.0500694444444463</v>
      </c>
      <c r="I32" s="63">
        <f t="shared" si="5"/>
        <v>6.9800602163065619</v>
      </c>
      <c r="J32" s="63">
        <f t="shared" si="6"/>
        <v>-0.23360933995887478</v>
      </c>
      <c r="K32" s="63">
        <f t="shared" si="7"/>
        <v>0.96403305900711</v>
      </c>
      <c r="L32" s="63">
        <f t="shared" si="8"/>
        <v>1.1976423989659848</v>
      </c>
    </row>
    <row r="33" spans="1:12" ht="15.75" thickBot="1" x14ac:dyDescent="0.25">
      <c r="A33" s="70">
        <v>41913</v>
      </c>
      <c r="B33" s="63">
        <v>6.5872387093848461</v>
      </c>
      <c r="C33" s="63">
        <v>6.6</v>
      </c>
      <c r="D33" s="63">
        <f t="shared" si="0"/>
        <v>0.80482089204426899</v>
      </c>
      <c r="E33" s="63">
        <f t="shared" si="1"/>
        <v>-3.2083333333333339</v>
      </c>
      <c r="F33" s="63">
        <f t="shared" si="2"/>
        <v>-2.5821336953086966</v>
      </c>
      <c r="G33" s="63">
        <f t="shared" si="3"/>
        <v>0.6477366682709329</v>
      </c>
      <c r="H33" s="63">
        <f t="shared" si="4"/>
        <v>10.293402777777782</v>
      </c>
      <c r="I33" s="63">
        <f t="shared" si="5"/>
        <v>7.05968187163948</v>
      </c>
      <c r="J33" s="63">
        <f t="shared" si="6"/>
        <v>-0.4724431622546339</v>
      </c>
      <c r="K33" s="63">
        <f t="shared" si="7"/>
        <v>0.80482089204426899</v>
      </c>
      <c r="L33" s="63">
        <f t="shared" si="8"/>
        <v>1.2772640542989029</v>
      </c>
    </row>
    <row r="34" spans="1:12" ht="15.75" thickBot="1" x14ac:dyDescent="0.25">
      <c r="A34" s="70">
        <v>41944</v>
      </c>
      <c r="B34" s="63">
        <v>6.555434281681638</v>
      </c>
      <c r="C34" s="63">
        <v>6.5</v>
      </c>
      <c r="D34" s="63">
        <f t="shared" ref="D34:D65" si="9">B34-$O$3</f>
        <v>0.77301646434106086</v>
      </c>
      <c r="E34" s="63">
        <f t="shared" ref="E34:E65" si="10">C34-$O$2</f>
        <v>-3.3083333333333336</v>
      </c>
      <c r="F34" s="63">
        <f t="shared" si="2"/>
        <v>-2.5573961361950097</v>
      </c>
      <c r="G34" s="63">
        <f t="shared" si="3"/>
        <v>0.59755445414235464</v>
      </c>
      <c r="H34" s="63">
        <f t="shared" si="4"/>
        <v>10.945069444444446</v>
      </c>
      <c r="I34" s="63">
        <f t="shared" ref="I34:I65" si="11">$O$9+$O$10*C34</f>
        <v>7.0994926993059391</v>
      </c>
      <c r="J34" s="63">
        <f t="shared" si="6"/>
        <v>-0.54405841762430107</v>
      </c>
      <c r="K34" s="63">
        <f t="shared" si="7"/>
        <v>0.77301646434106086</v>
      </c>
      <c r="L34" s="63">
        <f t="shared" ref="L34:L65" si="12">I34-$O$3</f>
        <v>1.3170748819653619</v>
      </c>
    </row>
    <row r="35" spans="1:12" ht="15.75" thickBot="1" x14ac:dyDescent="0.25">
      <c r="A35" s="70">
        <v>41974</v>
      </c>
      <c r="B35" s="63">
        <v>6.4076165963919518</v>
      </c>
      <c r="C35" s="63">
        <v>6.5</v>
      </c>
      <c r="D35" s="63">
        <f t="shared" si="9"/>
        <v>0.62519877905137466</v>
      </c>
      <c r="E35" s="63">
        <f t="shared" si="10"/>
        <v>-3.3083333333333336</v>
      </c>
      <c r="F35" s="63">
        <f t="shared" si="2"/>
        <v>-2.0683659606949645</v>
      </c>
      <c r="G35" s="63">
        <f t="shared" si="3"/>
        <v>0.39087351332732961</v>
      </c>
      <c r="H35" s="63">
        <f t="shared" si="4"/>
        <v>10.945069444444446</v>
      </c>
      <c r="I35" s="63">
        <f t="shared" si="11"/>
        <v>7.0994926993059391</v>
      </c>
      <c r="J35" s="63">
        <f t="shared" si="6"/>
        <v>-0.69187610291398727</v>
      </c>
      <c r="K35" s="63">
        <f t="shared" si="7"/>
        <v>0.62519877905137466</v>
      </c>
      <c r="L35" s="63">
        <f t="shared" si="12"/>
        <v>1.3170748819653619</v>
      </c>
    </row>
    <row r="36" spans="1:12" ht="15.75" thickBot="1" x14ac:dyDescent="0.25">
      <c r="A36" s="70">
        <v>42005</v>
      </c>
      <c r="B36" s="63">
        <v>7.1378130703005693</v>
      </c>
      <c r="C36" s="63">
        <v>6.8</v>
      </c>
      <c r="D36" s="63">
        <f t="shared" si="9"/>
        <v>1.3553952529599922</v>
      </c>
      <c r="E36" s="63">
        <f t="shared" si="10"/>
        <v>-3.0083333333333337</v>
      </c>
      <c r="F36" s="63">
        <f t="shared" si="2"/>
        <v>-4.0774807193213105</v>
      </c>
      <c r="G36" s="63">
        <f t="shared" si="3"/>
        <v>1.8370962917464813</v>
      </c>
      <c r="H36" s="63">
        <f t="shared" si="4"/>
        <v>9.0500694444444463</v>
      </c>
      <c r="I36" s="63">
        <f t="shared" si="11"/>
        <v>6.9800602163065619</v>
      </c>
      <c r="J36" s="63">
        <f t="shared" si="6"/>
        <v>0.1577528539940074</v>
      </c>
      <c r="K36" s="63">
        <f t="shared" si="7"/>
        <v>1.3553952529599922</v>
      </c>
      <c r="L36" s="63">
        <f t="shared" si="12"/>
        <v>1.1976423989659848</v>
      </c>
    </row>
    <row r="37" spans="1:12" ht="15.75" thickBot="1" x14ac:dyDescent="0.25">
      <c r="A37" s="70">
        <v>42036</v>
      </c>
      <c r="B37" s="63">
        <v>7.7017522988958476</v>
      </c>
      <c r="C37" s="63">
        <v>7.4</v>
      </c>
      <c r="D37" s="63">
        <f t="shared" si="9"/>
        <v>1.9193344815552704</v>
      </c>
      <c r="E37" s="63">
        <f t="shared" si="10"/>
        <v>-2.4083333333333332</v>
      </c>
      <c r="F37" s="63">
        <f t="shared" si="2"/>
        <v>-4.6223972097456096</v>
      </c>
      <c r="G37" s="63">
        <f t="shared" si="3"/>
        <v>3.6838448520870388</v>
      </c>
      <c r="H37" s="63">
        <f t="shared" si="4"/>
        <v>5.8000694444444436</v>
      </c>
      <c r="I37" s="63">
        <f t="shared" si="11"/>
        <v>6.741195250307805</v>
      </c>
      <c r="J37" s="63">
        <f t="shared" si="6"/>
        <v>0.96055704858804258</v>
      </c>
      <c r="K37" s="63">
        <f t="shared" si="7"/>
        <v>1.9193344815552704</v>
      </c>
      <c r="L37" s="63">
        <f t="shared" si="12"/>
        <v>0.95877743296722784</v>
      </c>
    </row>
    <row r="38" spans="1:12" ht="15.75" thickBot="1" x14ac:dyDescent="0.25">
      <c r="A38" s="70">
        <v>42064</v>
      </c>
      <c r="B38" s="63">
        <v>8.1286320147059943</v>
      </c>
      <c r="C38" s="63">
        <v>7.9</v>
      </c>
      <c r="D38" s="63">
        <f t="shared" si="9"/>
        <v>2.3462141973654171</v>
      </c>
      <c r="E38" s="63">
        <f t="shared" si="10"/>
        <v>-1.9083333333333332</v>
      </c>
      <c r="F38" s="63">
        <f t="shared" si="2"/>
        <v>-4.4773587599723372</v>
      </c>
      <c r="G38" s="63">
        <f t="shared" si="3"/>
        <v>5.5047210599190484</v>
      </c>
      <c r="H38" s="63">
        <f t="shared" si="4"/>
        <v>3.6417361111111108</v>
      </c>
      <c r="I38" s="63">
        <f t="shared" si="11"/>
        <v>6.5421411119755088</v>
      </c>
      <c r="J38" s="63">
        <f t="shared" si="6"/>
        <v>1.5864909027304854</v>
      </c>
      <c r="K38" s="63">
        <f t="shared" si="7"/>
        <v>2.3462141973654171</v>
      </c>
      <c r="L38" s="63">
        <f t="shared" si="12"/>
        <v>0.75972329463493171</v>
      </c>
    </row>
    <row r="39" spans="1:12" ht="15.75" thickBot="1" x14ac:dyDescent="0.25">
      <c r="A39" s="70">
        <v>42095</v>
      </c>
      <c r="B39" s="63">
        <v>8.1715956114139168</v>
      </c>
      <c r="C39" s="63">
        <v>8</v>
      </c>
      <c r="D39" s="63">
        <f t="shared" si="9"/>
        <v>2.3891777940733396</v>
      </c>
      <c r="E39" s="63">
        <f t="shared" si="10"/>
        <v>-1.8083333333333336</v>
      </c>
      <c r="F39" s="63">
        <f t="shared" si="2"/>
        <v>-4.3204298442826232</v>
      </c>
      <c r="G39" s="63">
        <f t="shared" si="3"/>
        <v>5.708170531693149</v>
      </c>
      <c r="H39" s="63">
        <f t="shared" si="4"/>
        <v>3.2700694444444451</v>
      </c>
      <c r="I39" s="63">
        <f t="shared" si="11"/>
        <v>6.5023302843090498</v>
      </c>
      <c r="J39" s="63">
        <f t="shared" si="6"/>
        <v>1.669265327104867</v>
      </c>
      <c r="K39" s="63">
        <f t="shared" si="7"/>
        <v>2.3891777940733396</v>
      </c>
      <c r="L39" s="63">
        <f t="shared" si="12"/>
        <v>0.71991246696847266</v>
      </c>
    </row>
    <row r="40" spans="1:12" ht="15.75" thickBot="1" x14ac:dyDescent="0.25">
      <c r="A40" s="70">
        <v>42125</v>
      </c>
      <c r="B40" s="63">
        <v>8.4730892085789442</v>
      </c>
      <c r="C40" s="63">
        <v>8.1</v>
      </c>
      <c r="D40" s="63">
        <f t="shared" si="9"/>
        <v>2.6906713912383671</v>
      </c>
      <c r="E40" s="63">
        <f t="shared" si="10"/>
        <v>-1.7083333333333339</v>
      </c>
      <c r="F40" s="63">
        <f t="shared" si="2"/>
        <v>-4.5965636266988783</v>
      </c>
      <c r="G40" s="63">
        <f t="shared" si="3"/>
        <v>7.2397125356286098</v>
      </c>
      <c r="H40" s="63">
        <f t="shared" si="4"/>
        <v>2.9184027777777799</v>
      </c>
      <c r="I40" s="63">
        <f t="shared" si="11"/>
        <v>6.4625194566425908</v>
      </c>
      <c r="J40" s="63">
        <f t="shared" si="6"/>
        <v>2.0105697519363535</v>
      </c>
      <c r="K40" s="63">
        <f t="shared" si="7"/>
        <v>2.6906713912383671</v>
      </c>
      <c r="L40" s="63">
        <f t="shared" si="12"/>
        <v>0.68010163930201362</v>
      </c>
    </row>
    <row r="41" spans="1:12" ht="15.75" thickBot="1" x14ac:dyDescent="0.25">
      <c r="A41" s="70">
        <v>42156</v>
      </c>
      <c r="B41" s="63">
        <v>8.8944488180545012</v>
      </c>
      <c r="C41" s="63">
        <v>8.3000000000000007</v>
      </c>
      <c r="D41" s="63">
        <f t="shared" si="9"/>
        <v>3.112031000713924</v>
      </c>
      <c r="E41" s="63">
        <f t="shared" si="10"/>
        <v>-1.5083333333333329</v>
      </c>
      <c r="F41" s="63">
        <f t="shared" si="2"/>
        <v>-4.6939800927435007</v>
      </c>
      <c r="G41" s="63">
        <f t="shared" si="3"/>
        <v>9.6847369494045079</v>
      </c>
      <c r="H41" s="63">
        <f t="shared" si="4"/>
        <v>2.2750694444444428</v>
      </c>
      <c r="I41" s="63">
        <f t="shared" si="11"/>
        <v>6.3828978013096709</v>
      </c>
      <c r="J41" s="63">
        <f t="shared" si="6"/>
        <v>2.5115510167448303</v>
      </c>
      <c r="K41" s="63">
        <f t="shared" si="7"/>
        <v>3.112031000713924</v>
      </c>
      <c r="L41" s="63">
        <f t="shared" si="12"/>
        <v>0.60047998396909374</v>
      </c>
    </row>
    <row r="42" spans="1:12" ht="15.75" thickBot="1" x14ac:dyDescent="0.25">
      <c r="A42" s="70">
        <v>42186</v>
      </c>
      <c r="B42" s="63">
        <v>9.5586385368727775</v>
      </c>
      <c r="C42" s="63">
        <v>8.5</v>
      </c>
      <c r="D42" s="63">
        <f t="shared" si="9"/>
        <v>3.7762207195322004</v>
      </c>
      <c r="E42" s="63">
        <f t="shared" si="10"/>
        <v>-1.3083333333333336</v>
      </c>
      <c r="F42" s="63">
        <f t="shared" si="2"/>
        <v>-4.9405554413879633</v>
      </c>
      <c r="G42" s="63">
        <f t="shared" si="3"/>
        <v>14.259842922624289</v>
      </c>
      <c r="H42" s="63">
        <f t="shared" si="4"/>
        <v>1.7117361111111118</v>
      </c>
      <c r="I42" s="63">
        <f t="shared" si="11"/>
        <v>6.3032761459767528</v>
      </c>
      <c r="J42" s="63">
        <f t="shared" si="6"/>
        <v>3.2553623908960247</v>
      </c>
      <c r="K42" s="63">
        <f t="shared" si="7"/>
        <v>3.7762207195322004</v>
      </c>
      <c r="L42" s="63">
        <f t="shared" si="12"/>
        <v>0.52085832863617565</v>
      </c>
    </row>
    <row r="43" spans="1:12" ht="15.75" thickBot="1" x14ac:dyDescent="0.25">
      <c r="A43" s="70">
        <v>42217</v>
      </c>
      <c r="B43" s="63">
        <v>9.5258529093804398</v>
      </c>
      <c r="C43" s="63">
        <v>8.6999999999999993</v>
      </c>
      <c r="D43" s="63">
        <f t="shared" si="9"/>
        <v>3.7434350920398627</v>
      </c>
      <c r="E43" s="63">
        <f t="shared" si="10"/>
        <v>-1.1083333333333343</v>
      </c>
      <c r="F43" s="63">
        <f t="shared" si="2"/>
        <v>-4.1489738936775185</v>
      </c>
      <c r="G43" s="63">
        <f t="shared" si="3"/>
        <v>14.013306288315496</v>
      </c>
      <c r="H43" s="63">
        <f t="shared" si="4"/>
        <v>1.22840277777778</v>
      </c>
      <c r="I43" s="63">
        <f t="shared" si="11"/>
        <v>6.2236544906438347</v>
      </c>
      <c r="J43" s="63">
        <f t="shared" si="6"/>
        <v>3.3021984187366051</v>
      </c>
      <c r="K43" s="63">
        <f t="shared" si="7"/>
        <v>3.7434350920398627</v>
      </c>
      <c r="L43" s="63">
        <f t="shared" si="12"/>
        <v>0.44123667330325755</v>
      </c>
    </row>
    <row r="44" spans="1:12" ht="15.75" thickBot="1" x14ac:dyDescent="0.25">
      <c r="A44" s="70">
        <v>42248</v>
      </c>
      <c r="B44" s="63">
        <v>9.4931813812181289</v>
      </c>
      <c r="C44" s="63">
        <v>8.9</v>
      </c>
      <c r="D44" s="63">
        <f t="shared" si="9"/>
        <v>3.7107635638775518</v>
      </c>
      <c r="E44" s="63">
        <f t="shared" si="10"/>
        <v>-0.90833333333333321</v>
      </c>
      <c r="F44" s="63">
        <f t="shared" si="2"/>
        <v>-3.3706102371887758</v>
      </c>
      <c r="G44" s="63">
        <f t="shared" si="3"/>
        <v>13.769766227001229</v>
      </c>
      <c r="H44" s="63">
        <f t="shared" si="4"/>
        <v>0.82506944444444419</v>
      </c>
      <c r="I44" s="63">
        <f t="shared" si="11"/>
        <v>6.1440328353109148</v>
      </c>
      <c r="J44" s="63">
        <f t="shared" si="6"/>
        <v>3.3491485459072141</v>
      </c>
      <c r="K44" s="63">
        <f t="shared" si="7"/>
        <v>3.7107635638775518</v>
      </c>
      <c r="L44" s="63">
        <f t="shared" si="12"/>
        <v>0.36161501797033768</v>
      </c>
    </row>
    <row r="45" spans="1:12" ht="15.75" thickBot="1" x14ac:dyDescent="0.25">
      <c r="A45" s="70">
        <v>42278</v>
      </c>
      <c r="B45" s="63">
        <v>9.9293223148218637</v>
      </c>
      <c r="C45" s="63">
        <v>8.9</v>
      </c>
      <c r="D45" s="63">
        <f t="shared" si="9"/>
        <v>4.1469044974812865</v>
      </c>
      <c r="E45" s="63">
        <f t="shared" si="10"/>
        <v>-0.90833333333333321</v>
      </c>
      <c r="F45" s="63">
        <f t="shared" si="2"/>
        <v>-3.7667715852121679</v>
      </c>
      <c r="G45" s="63">
        <f t="shared" si="3"/>
        <v>17.19681691123052</v>
      </c>
      <c r="H45" s="63">
        <f t="shared" si="4"/>
        <v>0.82506944444444419</v>
      </c>
      <c r="I45" s="63">
        <f t="shared" si="11"/>
        <v>6.1440328353109148</v>
      </c>
      <c r="J45" s="63">
        <f t="shared" si="6"/>
        <v>3.7852894795109489</v>
      </c>
      <c r="K45" s="63">
        <f t="shared" si="7"/>
        <v>4.1469044974812865</v>
      </c>
      <c r="L45" s="63">
        <f t="shared" si="12"/>
        <v>0.36161501797033768</v>
      </c>
    </row>
    <row r="46" spans="1:12" ht="15.75" thickBot="1" x14ac:dyDescent="0.25">
      <c r="A46" s="70">
        <v>42309</v>
      </c>
      <c r="B46" s="63">
        <v>10.476179952444076</v>
      </c>
      <c r="C46" s="63">
        <v>9</v>
      </c>
      <c r="D46" s="63">
        <f t="shared" si="9"/>
        <v>4.6937621351034986</v>
      </c>
      <c r="E46" s="63">
        <f t="shared" si="10"/>
        <v>-0.80833333333333357</v>
      </c>
      <c r="F46" s="63">
        <f t="shared" si="2"/>
        <v>-3.7941243925419958</v>
      </c>
      <c r="G46" s="63">
        <f t="shared" si="3"/>
        <v>22.031402980931354</v>
      </c>
      <c r="H46" s="63">
        <f t="shared" si="4"/>
        <v>0.65340277777777811</v>
      </c>
      <c r="I46" s="63">
        <f t="shared" si="11"/>
        <v>6.1042220076444558</v>
      </c>
      <c r="J46" s="63">
        <f t="shared" si="6"/>
        <v>4.37195794479962</v>
      </c>
      <c r="K46" s="63">
        <f t="shared" si="7"/>
        <v>4.6937621351034986</v>
      </c>
      <c r="L46" s="63">
        <f t="shared" si="12"/>
        <v>0.32180419030387863</v>
      </c>
    </row>
    <row r="47" spans="1:12" ht="15.75" thickBot="1" x14ac:dyDescent="0.25">
      <c r="A47" s="70">
        <v>42339</v>
      </c>
      <c r="B47" s="63">
        <v>10.673497995621762</v>
      </c>
      <c r="C47" s="63">
        <v>8.9</v>
      </c>
      <c r="D47" s="63">
        <f t="shared" si="9"/>
        <v>4.891080178281185</v>
      </c>
      <c r="E47" s="63">
        <f t="shared" si="10"/>
        <v>-0.90833333333333321</v>
      </c>
      <c r="F47" s="63">
        <f t="shared" si="2"/>
        <v>-4.4427311619387426</v>
      </c>
      <c r="G47" s="63">
        <f t="shared" si="3"/>
        <v>23.922665310375109</v>
      </c>
      <c r="H47" s="63">
        <f t="shared" si="4"/>
        <v>0.82506944444444419</v>
      </c>
      <c r="I47" s="63">
        <f t="shared" si="11"/>
        <v>6.1440328353109148</v>
      </c>
      <c r="J47" s="63">
        <f t="shared" si="6"/>
        <v>4.5294651603108473</v>
      </c>
      <c r="K47" s="63">
        <f t="shared" si="7"/>
        <v>4.891080178281185</v>
      </c>
      <c r="L47" s="63">
        <f t="shared" si="12"/>
        <v>0.36161501797033768</v>
      </c>
    </row>
    <row r="48" spans="1:12" ht="15.75" thickBot="1" x14ac:dyDescent="0.25">
      <c r="A48" s="70">
        <v>42370</v>
      </c>
      <c r="B48" s="63">
        <v>10.706293382226505</v>
      </c>
      <c r="C48" s="63">
        <v>9.5</v>
      </c>
      <c r="D48" s="63">
        <f t="shared" si="9"/>
        <v>4.923875564885928</v>
      </c>
      <c r="E48" s="63">
        <f t="shared" si="10"/>
        <v>-0.30833333333333357</v>
      </c>
      <c r="F48" s="63">
        <f t="shared" si="2"/>
        <v>-1.518194965839829</v>
      </c>
      <c r="G48" s="63">
        <f t="shared" si="3"/>
        <v>24.244550578480716</v>
      </c>
      <c r="H48" s="63">
        <f t="shared" si="4"/>
        <v>9.5069444444444595E-2</v>
      </c>
      <c r="I48" s="63">
        <f t="shared" si="11"/>
        <v>5.9051678693121596</v>
      </c>
      <c r="J48" s="63">
        <f t="shared" si="6"/>
        <v>4.8011255129143455</v>
      </c>
      <c r="K48" s="63">
        <f t="shared" si="7"/>
        <v>4.923875564885928</v>
      </c>
      <c r="L48" s="63">
        <f t="shared" si="12"/>
        <v>0.12275005197158251</v>
      </c>
    </row>
    <row r="49" spans="1:12" ht="15.75" thickBot="1" x14ac:dyDescent="0.25">
      <c r="A49" s="70">
        <v>42401</v>
      </c>
      <c r="B49" s="63">
        <v>10.356303124547072</v>
      </c>
      <c r="C49" s="63">
        <v>10.199999999999999</v>
      </c>
      <c r="D49" s="63">
        <f t="shared" si="9"/>
        <v>4.5738853072064947</v>
      </c>
      <c r="E49" s="63">
        <f t="shared" si="10"/>
        <v>0.39166666666666572</v>
      </c>
      <c r="F49" s="63">
        <f t="shared" si="2"/>
        <v>1.7914384119892062</v>
      </c>
      <c r="G49" s="63">
        <f t="shared" si="3"/>
        <v>20.920426803479451</v>
      </c>
      <c r="H49" s="63">
        <f t="shared" si="4"/>
        <v>0.15340277777777703</v>
      </c>
      <c r="I49" s="63">
        <f t="shared" si="11"/>
        <v>5.6264920756469445</v>
      </c>
      <c r="J49" s="63">
        <f t="shared" si="6"/>
        <v>4.7298110489001273</v>
      </c>
      <c r="K49" s="63">
        <f t="shared" si="7"/>
        <v>4.5738853072064947</v>
      </c>
      <c r="L49" s="63">
        <f t="shared" si="12"/>
        <v>-0.1559257416936326</v>
      </c>
    </row>
    <row r="50" spans="1:12" ht="15.75" thickBot="1" x14ac:dyDescent="0.25">
      <c r="A50" s="70">
        <v>42430</v>
      </c>
      <c r="B50" s="63">
        <v>9.3869277812698151</v>
      </c>
      <c r="C50" s="63">
        <v>10.9</v>
      </c>
      <c r="D50" s="63">
        <f t="shared" si="9"/>
        <v>3.6045099639292379</v>
      </c>
      <c r="E50" s="63">
        <f t="shared" si="10"/>
        <v>1.0916666666666668</v>
      </c>
      <c r="F50" s="63">
        <f t="shared" si="2"/>
        <v>3.9349233772894183</v>
      </c>
      <c r="G50" s="63">
        <f t="shared" si="3"/>
        <v>12.992492080065157</v>
      </c>
      <c r="H50" s="63">
        <f t="shared" si="4"/>
        <v>1.1917361111111113</v>
      </c>
      <c r="I50" s="63">
        <f t="shared" si="11"/>
        <v>5.3478162819817285</v>
      </c>
      <c r="J50" s="63">
        <f t="shared" si="6"/>
        <v>4.0391114992880865</v>
      </c>
      <c r="K50" s="63">
        <f t="shared" si="7"/>
        <v>3.6045099639292379</v>
      </c>
      <c r="L50" s="63">
        <f t="shared" si="12"/>
        <v>-0.4346015353588486</v>
      </c>
    </row>
    <row r="51" spans="1:12" ht="15.75" thickBot="1" x14ac:dyDescent="0.25">
      <c r="A51" s="70">
        <v>42461</v>
      </c>
      <c r="B51" s="63">
        <v>9.2783120253555609</v>
      </c>
      <c r="C51" s="63">
        <v>11.2</v>
      </c>
      <c r="D51" s="63">
        <f t="shared" si="9"/>
        <v>3.4958942080149837</v>
      </c>
      <c r="E51" s="63">
        <f t="shared" si="10"/>
        <v>1.3916666666666657</v>
      </c>
      <c r="F51" s="63">
        <f t="shared" si="2"/>
        <v>4.8651194394875157</v>
      </c>
      <c r="G51" s="63">
        <f t="shared" si="3"/>
        <v>12.22127631363271</v>
      </c>
      <c r="H51" s="63">
        <f t="shared" si="4"/>
        <v>1.9367361111111085</v>
      </c>
      <c r="I51" s="63">
        <f t="shared" si="11"/>
        <v>5.2283837989823514</v>
      </c>
      <c r="J51" s="63">
        <f t="shared" si="6"/>
        <v>4.0499282263732095</v>
      </c>
      <c r="K51" s="63">
        <f t="shared" si="7"/>
        <v>3.4958942080149837</v>
      </c>
      <c r="L51" s="63">
        <f t="shared" si="12"/>
        <v>-0.55403401835822574</v>
      </c>
    </row>
    <row r="52" spans="1:12" ht="15.75" thickBot="1" x14ac:dyDescent="0.25">
      <c r="A52" s="70">
        <v>42491</v>
      </c>
      <c r="B52" s="63">
        <v>9.3217022624114243</v>
      </c>
      <c r="C52" s="63">
        <v>11.2</v>
      </c>
      <c r="D52" s="63">
        <f t="shared" si="9"/>
        <v>3.5392844450708472</v>
      </c>
      <c r="E52" s="63">
        <f t="shared" si="10"/>
        <v>1.3916666666666657</v>
      </c>
      <c r="F52" s="63">
        <f t="shared" si="2"/>
        <v>4.9255041860569255</v>
      </c>
      <c r="G52" s="63">
        <f t="shared" si="3"/>
        <v>12.526534383120454</v>
      </c>
      <c r="H52" s="63">
        <f t="shared" si="4"/>
        <v>1.9367361111111085</v>
      </c>
      <c r="I52" s="63">
        <f t="shared" si="11"/>
        <v>5.2283837989823514</v>
      </c>
      <c r="J52" s="63">
        <f t="shared" si="6"/>
        <v>4.0933184634290729</v>
      </c>
      <c r="K52" s="63">
        <f t="shared" si="7"/>
        <v>3.5392844450708472</v>
      </c>
      <c r="L52" s="63">
        <f t="shared" si="12"/>
        <v>-0.55403401835822574</v>
      </c>
    </row>
    <row r="53" spans="1:12" ht="15.75" thickBot="1" x14ac:dyDescent="0.25">
      <c r="A53" s="70">
        <v>42522</v>
      </c>
      <c r="B53" s="63">
        <v>8.8444570099512898</v>
      </c>
      <c r="C53" s="63">
        <v>11.3</v>
      </c>
      <c r="D53" s="63">
        <f t="shared" si="9"/>
        <v>3.0620391926107127</v>
      </c>
      <c r="E53" s="63">
        <f t="shared" si="10"/>
        <v>1.4916666666666671</v>
      </c>
      <c r="F53" s="63">
        <f t="shared" si="2"/>
        <v>4.5675417956443143</v>
      </c>
      <c r="G53" s="63">
        <f t="shared" si="3"/>
        <v>9.3760840170840645</v>
      </c>
      <c r="H53" s="63">
        <f t="shared" si="4"/>
        <v>2.2250694444444457</v>
      </c>
      <c r="I53" s="63">
        <f t="shared" si="11"/>
        <v>5.1885729713158915</v>
      </c>
      <c r="J53" s="63">
        <f t="shared" si="6"/>
        <v>3.6558840386353983</v>
      </c>
      <c r="K53" s="63">
        <f t="shared" si="7"/>
        <v>3.0620391926107127</v>
      </c>
      <c r="L53" s="63">
        <f t="shared" si="12"/>
        <v>-0.59384484602468568</v>
      </c>
    </row>
    <row r="54" spans="1:12" ht="15.75" thickBot="1" x14ac:dyDescent="0.25">
      <c r="A54" s="70">
        <v>42552</v>
      </c>
      <c r="B54" s="63">
        <v>8.7362832303747204</v>
      </c>
      <c r="C54" s="63">
        <v>11.6</v>
      </c>
      <c r="D54" s="63">
        <f t="shared" si="9"/>
        <v>2.9538654130341433</v>
      </c>
      <c r="E54" s="63">
        <f t="shared" si="10"/>
        <v>1.7916666666666661</v>
      </c>
      <c r="F54" s="63">
        <f t="shared" si="2"/>
        <v>5.2923421983528387</v>
      </c>
      <c r="G54" s="63">
        <f t="shared" si="3"/>
        <v>8.7253208783193692</v>
      </c>
      <c r="H54" s="63">
        <f t="shared" si="4"/>
        <v>3.2100694444444424</v>
      </c>
      <c r="I54" s="63">
        <f t="shared" si="11"/>
        <v>5.0691404883165143</v>
      </c>
      <c r="J54" s="63">
        <f t="shared" si="6"/>
        <v>3.6671427420582061</v>
      </c>
      <c r="K54" s="63">
        <f t="shared" si="7"/>
        <v>2.9538654130341433</v>
      </c>
      <c r="L54" s="63">
        <f t="shared" si="12"/>
        <v>-0.71327732902406282</v>
      </c>
    </row>
    <row r="55" spans="1:12" ht="15.75" thickBot="1" x14ac:dyDescent="0.25">
      <c r="A55" s="70">
        <v>42583</v>
      </c>
      <c r="B55" s="63">
        <v>8.9749779251530484</v>
      </c>
      <c r="C55" s="63">
        <v>11.8</v>
      </c>
      <c r="D55" s="63">
        <f t="shared" si="9"/>
        <v>3.1925601078124712</v>
      </c>
      <c r="E55" s="63">
        <f t="shared" si="10"/>
        <v>1.9916666666666671</v>
      </c>
      <c r="F55" s="63">
        <f t="shared" si="2"/>
        <v>6.3585155480598399</v>
      </c>
      <c r="G55" s="63">
        <f t="shared" si="3"/>
        <v>10.192440041995578</v>
      </c>
      <c r="H55" s="63">
        <f t="shared" si="4"/>
        <v>3.9667361111111128</v>
      </c>
      <c r="I55" s="63">
        <f t="shared" si="11"/>
        <v>4.9895188329835953</v>
      </c>
      <c r="J55" s="63">
        <f t="shared" si="6"/>
        <v>3.985459092169453</v>
      </c>
      <c r="K55" s="63">
        <f t="shared" si="7"/>
        <v>3.1925601078124712</v>
      </c>
      <c r="L55" s="63">
        <f t="shared" si="12"/>
        <v>-0.79289898435698181</v>
      </c>
    </row>
    <row r="56" spans="1:12" ht="15.75" thickBot="1" x14ac:dyDescent="0.25">
      <c r="A56" s="70">
        <v>42614</v>
      </c>
      <c r="B56" s="63">
        <v>8.4763854261917118</v>
      </c>
      <c r="C56" s="63">
        <v>11.8</v>
      </c>
      <c r="D56" s="63">
        <f t="shared" si="9"/>
        <v>2.6939676088511346</v>
      </c>
      <c r="E56" s="63">
        <f t="shared" si="10"/>
        <v>1.9916666666666671</v>
      </c>
      <c r="F56" s="63">
        <f t="shared" si="2"/>
        <v>5.3654854876285114</v>
      </c>
      <c r="G56" s="63">
        <f t="shared" si="3"/>
        <v>7.2574614775391</v>
      </c>
      <c r="H56" s="63">
        <f t="shared" si="4"/>
        <v>3.9667361111111128</v>
      </c>
      <c r="I56" s="63">
        <f t="shared" si="11"/>
        <v>4.9895188329835953</v>
      </c>
      <c r="J56" s="63">
        <f t="shared" si="6"/>
        <v>3.4868665932081164</v>
      </c>
      <c r="K56" s="63">
        <f t="shared" si="7"/>
        <v>2.6939676088511346</v>
      </c>
      <c r="L56" s="63">
        <f t="shared" si="12"/>
        <v>-0.79289898435698181</v>
      </c>
    </row>
    <row r="57" spans="1:12" ht="15.75" thickBot="1" x14ac:dyDescent="0.25">
      <c r="A57" s="70">
        <v>42644</v>
      </c>
      <c r="B57" s="63">
        <v>7.8738583895058278</v>
      </c>
      <c r="C57" s="63">
        <v>11.8</v>
      </c>
      <c r="D57" s="63">
        <f t="shared" si="9"/>
        <v>2.0914405721652507</v>
      </c>
      <c r="E57" s="63">
        <f t="shared" si="10"/>
        <v>1.9916666666666671</v>
      </c>
      <c r="F57" s="63">
        <f t="shared" si="2"/>
        <v>4.165452472895792</v>
      </c>
      <c r="G57" s="63">
        <f t="shared" si="3"/>
        <v>4.3741236668989112</v>
      </c>
      <c r="H57" s="63">
        <f t="shared" si="4"/>
        <v>3.9667361111111128</v>
      </c>
      <c r="I57" s="63">
        <f t="shared" si="11"/>
        <v>4.9895188329835953</v>
      </c>
      <c r="J57" s="63">
        <f t="shared" si="6"/>
        <v>2.8843395565222325</v>
      </c>
      <c r="K57" s="63">
        <f t="shared" si="7"/>
        <v>2.0914405721652507</v>
      </c>
      <c r="L57" s="63">
        <f t="shared" si="12"/>
        <v>-0.79289898435698181</v>
      </c>
    </row>
    <row r="58" spans="1:12" ht="15.75" thickBot="1" x14ac:dyDescent="0.25">
      <c r="A58" s="70">
        <v>42675</v>
      </c>
      <c r="B58" s="63">
        <v>6.9874580087189164</v>
      </c>
      <c r="C58" s="63">
        <v>11.8</v>
      </c>
      <c r="D58" s="63">
        <f t="shared" si="9"/>
        <v>1.2050401913783393</v>
      </c>
      <c r="E58" s="63">
        <f t="shared" si="10"/>
        <v>1.9916666666666671</v>
      </c>
      <c r="F58" s="63">
        <f t="shared" si="2"/>
        <v>2.4000383811618597</v>
      </c>
      <c r="G58" s="63">
        <f t="shared" si="3"/>
        <v>1.4521218628371446</v>
      </c>
      <c r="H58" s="63">
        <f t="shared" si="4"/>
        <v>3.9667361111111128</v>
      </c>
      <c r="I58" s="63">
        <f t="shared" si="11"/>
        <v>4.9895188329835953</v>
      </c>
      <c r="J58" s="63">
        <f t="shared" si="6"/>
        <v>1.9979391757353211</v>
      </c>
      <c r="K58" s="63">
        <f t="shared" si="7"/>
        <v>1.2050401913783393</v>
      </c>
      <c r="L58" s="63">
        <f t="shared" si="12"/>
        <v>-0.79289898435698181</v>
      </c>
    </row>
    <row r="59" spans="1:12" ht="15.75" thickBot="1" x14ac:dyDescent="0.25">
      <c r="A59" s="70">
        <v>42705</v>
      </c>
      <c r="B59" s="63">
        <v>6.2880550542244951</v>
      </c>
      <c r="C59" s="63">
        <v>12</v>
      </c>
      <c r="D59" s="63">
        <f t="shared" si="9"/>
        <v>0.50563723688391793</v>
      </c>
      <c r="E59" s="63">
        <f t="shared" si="10"/>
        <v>2.1916666666666664</v>
      </c>
      <c r="F59" s="63">
        <f t="shared" si="2"/>
        <v>1.10818827750392</v>
      </c>
      <c r="G59" s="63">
        <f t="shared" si="3"/>
        <v>0.25566901532360331</v>
      </c>
      <c r="H59" s="63">
        <f t="shared" si="4"/>
        <v>4.8034027777777766</v>
      </c>
      <c r="I59" s="63">
        <f t="shared" si="11"/>
        <v>4.9098971776506763</v>
      </c>
      <c r="J59" s="63">
        <f t="shared" si="6"/>
        <v>1.3781578765738187</v>
      </c>
      <c r="K59" s="63">
        <f t="shared" si="7"/>
        <v>0.50563723688391793</v>
      </c>
      <c r="L59" s="63">
        <f t="shared" si="12"/>
        <v>-0.87252063968990079</v>
      </c>
    </row>
    <row r="60" spans="1:12" ht="15.75" thickBot="1" x14ac:dyDescent="0.25">
      <c r="A60" s="70">
        <v>42736</v>
      </c>
      <c r="B60" s="63">
        <v>5.3539544420169616</v>
      </c>
      <c r="C60" s="63">
        <v>12.6</v>
      </c>
      <c r="D60" s="63">
        <f t="shared" si="9"/>
        <v>-0.42846337532361556</v>
      </c>
      <c r="E60" s="63">
        <f t="shared" si="10"/>
        <v>2.7916666666666661</v>
      </c>
      <c r="F60" s="63">
        <f t="shared" si="2"/>
        <v>-1.1961269227784266</v>
      </c>
      <c r="G60" s="63">
        <f t="shared" si="3"/>
        <v>0.18358086399370546</v>
      </c>
      <c r="H60" s="63">
        <f t="shared" si="4"/>
        <v>7.7934027777777741</v>
      </c>
      <c r="I60" s="63">
        <f t="shared" si="11"/>
        <v>4.6710322116519212</v>
      </c>
      <c r="J60" s="63">
        <f t="shared" si="6"/>
        <v>0.68292223036504041</v>
      </c>
      <c r="K60" s="63">
        <f t="shared" si="7"/>
        <v>-0.42846337532361556</v>
      </c>
      <c r="L60" s="63">
        <f t="shared" si="12"/>
        <v>-1.111385605688656</v>
      </c>
    </row>
    <row r="61" spans="1:12" ht="15.75" thickBot="1" x14ac:dyDescent="0.25">
      <c r="A61" s="70">
        <v>42767</v>
      </c>
      <c r="B61" s="63">
        <v>4.7587933515120362</v>
      </c>
      <c r="C61" s="63">
        <v>13.2</v>
      </c>
      <c r="D61" s="63">
        <f t="shared" si="9"/>
        <v>-1.0236244658285409</v>
      </c>
      <c r="E61" s="63">
        <f t="shared" si="10"/>
        <v>3.3916666666666657</v>
      </c>
      <c r="F61" s="63">
        <f t="shared" si="2"/>
        <v>-3.4717929799351337</v>
      </c>
      <c r="G61" s="63">
        <f t="shared" si="3"/>
        <v>1.0478070470427658</v>
      </c>
      <c r="H61" s="63">
        <f t="shared" si="4"/>
        <v>11.503402777777771</v>
      </c>
      <c r="I61" s="63">
        <f t="shared" si="11"/>
        <v>4.4321672456531651</v>
      </c>
      <c r="J61" s="63">
        <f t="shared" si="6"/>
        <v>0.32662610585887109</v>
      </c>
      <c r="K61" s="63">
        <f t="shared" si="7"/>
        <v>-1.0236244658285409</v>
      </c>
      <c r="L61" s="63">
        <f t="shared" si="12"/>
        <v>-1.350250571687412</v>
      </c>
    </row>
    <row r="62" spans="1:12" ht="15.75" thickBot="1" x14ac:dyDescent="0.25">
      <c r="A62" s="70">
        <v>42795</v>
      </c>
      <c r="B62" s="63">
        <v>4.5710348848858384</v>
      </c>
      <c r="C62" s="63">
        <v>13.7</v>
      </c>
      <c r="D62" s="63">
        <f t="shared" si="9"/>
        <v>-1.2113829324547387</v>
      </c>
      <c r="E62" s="63">
        <f t="shared" si="10"/>
        <v>3.8916666666666657</v>
      </c>
      <c r="F62" s="63">
        <f t="shared" si="2"/>
        <v>-4.7142985788030236</v>
      </c>
      <c r="G62" s="63">
        <f t="shared" si="3"/>
        <v>1.467448609042642</v>
      </c>
      <c r="H62" s="63">
        <f t="shared" si="4"/>
        <v>15.145069444444436</v>
      </c>
      <c r="I62" s="63">
        <f t="shared" si="11"/>
        <v>4.2331131073208681</v>
      </c>
      <c r="J62" s="63">
        <f t="shared" si="6"/>
        <v>0.33792177756497033</v>
      </c>
      <c r="K62" s="63">
        <f t="shared" si="7"/>
        <v>-1.2113829324547387</v>
      </c>
      <c r="L62" s="63">
        <f t="shared" si="12"/>
        <v>-1.549304710019709</v>
      </c>
    </row>
    <row r="63" spans="1:12" ht="15.75" thickBot="1" x14ac:dyDescent="0.25">
      <c r="A63" s="70">
        <v>42826</v>
      </c>
      <c r="B63" s="63">
        <v>4.0825308952635586</v>
      </c>
      <c r="C63" s="63">
        <v>13.6</v>
      </c>
      <c r="D63" s="63">
        <f t="shared" si="9"/>
        <v>-1.6998869220770185</v>
      </c>
      <c r="E63" s="63">
        <f t="shared" si="10"/>
        <v>3.7916666666666661</v>
      </c>
      <c r="F63" s="63">
        <f t="shared" si="2"/>
        <v>-6.4454045795420276</v>
      </c>
      <c r="G63" s="63">
        <f t="shared" si="3"/>
        <v>2.8896155478484795</v>
      </c>
      <c r="H63" s="63">
        <f t="shared" si="4"/>
        <v>14.376736111111107</v>
      </c>
      <c r="I63" s="63">
        <f t="shared" si="11"/>
        <v>4.272923934987328</v>
      </c>
      <c r="J63" s="63">
        <f t="shared" si="6"/>
        <v>-0.19039303972376942</v>
      </c>
      <c r="K63" s="63">
        <f t="shared" si="7"/>
        <v>-1.6998869220770185</v>
      </c>
      <c r="L63" s="63">
        <f t="shared" si="12"/>
        <v>-1.5094938823532491</v>
      </c>
    </row>
    <row r="64" spans="1:12" ht="15.75" thickBot="1" x14ac:dyDescent="0.25">
      <c r="A64" s="70">
        <v>42856</v>
      </c>
      <c r="B64" s="63">
        <v>3.5971291337952627</v>
      </c>
      <c r="C64" s="63">
        <v>13.3</v>
      </c>
      <c r="D64" s="63">
        <f t="shared" si="9"/>
        <v>-2.1852886835453145</v>
      </c>
      <c r="E64" s="63">
        <f t="shared" si="10"/>
        <v>3.4916666666666671</v>
      </c>
      <c r="F64" s="63">
        <f t="shared" si="2"/>
        <v>-7.6302996533790575</v>
      </c>
      <c r="G64" s="63">
        <f t="shared" si="3"/>
        <v>4.7754866304312138</v>
      </c>
      <c r="H64" s="63">
        <f t="shared" si="4"/>
        <v>12.191736111111114</v>
      </c>
      <c r="I64" s="63">
        <f t="shared" si="11"/>
        <v>4.3923564179867052</v>
      </c>
      <c r="J64" s="63">
        <f t="shared" si="6"/>
        <v>-0.79522728419144251</v>
      </c>
      <c r="K64" s="63">
        <f t="shared" si="7"/>
        <v>-2.1852886835453145</v>
      </c>
      <c r="L64" s="63">
        <f t="shared" si="12"/>
        <v>-1.390061399353872</v>
      </c>
    </row>
    <row r="65" spans="1:12" ht="15.75" thickBot="1" x14ac:dyDescent="0.25">
      <c r="A65" s="70">
        <v>42887</v>
      </c>
      <c r="B65" s="63">
        <v>2.9983614716367679</v>
      </c>
      <c r="C65" s="63">
        <v>13</v>
      </c>
      <c r="D65" s="63">
        <f t="shared" si="9"/>
        <v>-2.7840563457038092</v>
      </c>
      <c r="E65" s="63">
        <f t="shared" si="10"/>
        <v>3.1916666666666664</v>
      </c>
      <c r="F65" s="63">
        <f t="shared" si="2"/>
        <v>-8.885779836704657</v>
      </c>
      <c r="G65" s="63">
        <f t="shared" si="3"/>
        <v>7.7509697360536478</v>
      </c>
      <c r="H65" s="63">
        <f t="shared" si="4"/>
        <v>10.186736111111109</v>
      </c>
      <c r="I65" s="63">
        <f t="shared" si="11"/>
        <v>4.5117889009860832</v>
      </c>
      <c r="J65" s="63">
        <f t="shared" si="6"/>
        <v>-1.5134274293493153</v>
      </c>
      <c r="K65" s="63">
        <f t="shared" si="7"/>
        <v>-2.7840563457038092</v>
      </c>
      <c r="L65" s="63">
        <f t="shared" si="12"/>
        <v>-1.2706289163544939</v>
      </c>
    </row>
    <row r="66" spans="1:12" ht="15.75" thickBot="1" x14ac:dyDescent="0.25">
      <c r="A66" s="70">
        <v>42917</v>
      </c>
      <c r="B66" s="63">
        <v>2.7114579577881992</v>
      </c>
      <c r="C66" s="63">
        <v>12.8</v>
      </c>
      <c r="D66" s="63">
        <f t="shared" ref="D66:D97" si="13">B66-$O$3</f>
        <v>-3.0709598595523779</v>
      </c>
      <c r="E66" s="63">
        <f t="shared" ref="E66:E97" si="14">C66-$O$2</f>
        <v>2.9916666666666671</v>
      </c>
      <c r="F66" s="63">
        <f t="shared" si="2"/>
        <v>-9.1872882464941981</v>
      </c>
      <c r="G66" s="63">
        <f t="shared" si="3"/>
        <v>9.4307944589819606</v>
      </c>
      <c r="H66" s="63">
        <f t="shared" si="4"/>
        <v>8.9500694444444466</v>
      </c>
      <c r="I66" s="63">
        <f t="shared" ref="I66:I97" si="15">$O$9+$O$10*C66</f>
        <v>4.5914105563190013</v>
      </c>
      <c r="J66" s="63">
        <f t="shared" si="6"/>
        <v>-1.8799525985308021</v>
      </c>
      <c r="K66" s="63">
        <f t="shared" si="7"/>
        <v>-3.0709598595523779</v>
      </c>
      <c r="L66" s="63">
        <f t="shared" ref="L66:L97" si="16">I66-$O$3</f>
        <v>-1.1910072610215758</v>
      </c>
    </row>
    <row r="67" spans="1:12" ht="15.75" thickBot="1" x14ac:dyDescent="0.25">
      <c r="A67" s="70">
        <v>42948</v>
      </c>
      <c r="B67" s="63">
        <v>2.455804189474331</v>
      </c>
      <c r="C67" s="63">
        <v>12.6</v>
      </c>
      <c r="D67" s="63">
        <f t="shared" si="13"/>
        <v>-3.3266136278662461</v>
      </c>
      <c r="E67" s="63">
        <f t="shared" si="14"/>
        <v>2.7916666666666661</v>
      </c>
      <c r="F67" s="63">
        <f t="shared" ref="F67:F97" si="17">E67*D67</f>
        <v>-9.2867963777932694</v>
      </c>
      <c r="G67" s="63">
        <f t="shared" ref="G67:G97" si="18">D67^2</f>
        <v>11.066358229105427</v>
      </c>
      <c r="H67" s="63">
        <f t="shared" ref="H67:H97" si="19">E67^2</f>
        <v>7.7934027777777741</v>
      </c>
      <c r="I67" s="63">
        <f t="shared" si="15"/>
        <v>4.6710322116519212</v>
      </c>
      <c r="J67" s="63">
        <f t="shared" ref="J67:J97" si="20">B67-I67</f>
        <v>-2.2152280221775902</v>
      </c>
      <c r="K67" s="63">
        <f t="shared" ref="K67:K97" si="21">D67</f>
        <v>-3.3266136278662461</v>
      </c>
      <c r="L67" s="63">
        <f t="shared" si="16"/>
        <v>-1.111385605688656</v>
      </c>
    </row>
    <row r="68" spans="1:12" ht="15.75" thickBot="1" x14ac:dyDescent="0.25">
      <c r="A68" s="70">
        <v>42979</v>
      </c>
      <c r="B68" s="63">
        <v>2.5377033135266736</v>
      </c>
      <c r="C68" s="63">
        <v>12.4</v>
      </c>
      <c r="D68" s="63">
        <f t="shared" si="13"/>
        <v>-3.2447145038139036</v>
      </c>
      <c r="E68" s="63">
        <f t="shared" si="14"/>
        <v>2.5916666666666668</v>
      </c>
      <c r="F68" s="63">
        <f t="shared" si="17"/>
        <v>-8.4092184223843667</v>
      </c>
      <c r="G68" s="63">
        <f t="shared" si="18"/>
        <v>10.528172211260307</v>
      </c>
      <c r="H68" s="63">
        <f t="shared" si="19"/>
        <v>6.7167361111111115</v>
      </c>
      <c r="I68" s="63">
        <f t="shared" si="15"/>
        <v>4.7506538669848393</v>
      </c>
      <c r="J68" s="63">
        <f t="shared" si="20"/>
        <v>-2.2129505534581657</v>
      </c>
      <c r="K68" s="63">
        <f t="shared" si="21"/>
        <v>-3.2447145038139036</v>
      </c>
      <c r="L68" s="63">
        <f t="shared" si="16"/>
        <v>-1.0317639503557379</v>
      </c>
    </row>
    <row r="69" spans="1:12" ht="15.75" thickBot="1" x14ac:dyDescent="0.25">
      <c r="A69" s="70">
        <v>43009</v>
      </c>
      <c r="B69" s="63">
        <v>2.7013381881543008</v>
      </c>
      <c r="C69" s="63">
        <v>12.2</v>
      </c>
      <c r="D69" s="63">
        <f t="shared" si="13"/>
        <v>-3.0810796291862763</v>
      </c>
      <c r="E69" s="63">
        <f t="shared" si="14"/>
        <v>2.3916666666666657</v>
      </c>
      <c r="F69" s="63">
        <f t="shared" si="17"/>
        <v>-7.368915446470508</v>
      </c>
      <c r="G69" s="63">
        <f t="shared" si="18"/>
        <v>9.4930516813866426</v>
      </c>
      <c r="H69" s="63">
        <f t="shared" si="19"/>
        <v>5.72006944444444</v>
      </c>
      <c r="I69" s="63">
        <f t="shared" si="15"/>
        <v>4.8302755223177583</v>
      </c>
      <c r="J69" s="63">
        <f t="shared" si="20"/>
        <v>-2.1289373341634574</v>
      </c>
      <c r="K69" s="63">
        <f t="shared" si="21"/>
        <v>-3.0810796291862763</v>
      </c>
      <c r="L69" s="63">
        <f t="shared" si="16"/>
        <v>-0.95214229502281889</v>
      </c>
    </row>
    <row r="70" spans="1:12" ht="15.75" thickBot="1" x14ac:dyDescent="0.25">
      <c r="A70" s="70">
        <v>43040</v>
      </c>
      <c r="B70" s="63">
        <v>2.8038549960881287</v>
      </c>
      <c r="C70" s="63">
        <v>12</v>
      </c>
      <c r="D70" s="63">
        <f t="shared" si="13"/>
        <v>-2.9785628212524484</v>
      </c>
      <c r="E70" s="63">
        <f t="shared" si="14"/>
        <v>2.1916666666666664</v>
      </c>
      <c r="F70" s="63">
        <f t="shared" si="17"/>
        <v>-6.5280168499116158</v>
      </c>
      <c r="G70" s="63">
        <f t="shared" si="18"/>
        <v>8.8718364801473442</v>
      </c>
      <c r="H70" s="63">
        <f t="shared" si="19"/>
        <v>4.8034027777777766</v>
      </c>
      <c r="I70" s="63">
        <f t="shared" si="15"/>
        <v>4.9098971776506763</v>
      </c>
      <c r="J70" s="63">
        <f t="shared" si="20"/>
        <v>-2.1060421815625476</v>
      </c>
      <c r="K70" s="63">
        <f t="shared" si="21"/>
        <v>-2.9785628212524484</v>
      </c>
      <c r="L70" s="63">
        <f t="shared" si="16"/>
        <v>-0.87252063968990079</v>
      </c>
    </row>
    <row r="71" spans="1:12" ht="15.75" thickBot="1" x14ac:dyDescent="0.25">
      <c r="A71" s="70">
        <v>43070</v>
      </c>
      <c r="B71" s="63">
        <v>2.9473499083458643</v>
      </c>
      <c r="C71" s="63">
        <v>11.8</v>
      </c>
      <c r="D71" s="63">
        <f t="shared" si="13"/>
        <v>-2.8350679089947128</v>
      </c>
      <c r="E71" s="63">
        <f t="shared" si="14"/>
        <v>1.9916666666666671</v>
      </c>
      <c r="F71" s="63">
        <f t="shared" si="17"/>
        <v>-5.6465102520811374</v>
      </c>
      <c r="G71" s="63">
        <f t="shared" si="18"/>
        <v>8.0376100486116542</v>
      </c>
      <c r="H71" s="63">
        <f t="shared" si="19"/>
        <v>3.9667361111111128</v>
      </c>
      <c r="I71" s="63">
        <f t="shared" si="15"/>
        <v>4.9895188329835953</v>
      </c>
      <c r="J71" s="63">
        <f t="shared" si="20"/>
        <v>-2.042168924637731</v>
      </c>
      <c r="K71" s="63">
        <f t="shared" si="21"/>
        <v>-2.8350679089947128</v>
      </c>
      <c r="L71" s="63">
        <f t="shared" si="16"/>
        <v>-0.79289898435698181</v>
      </c>
    </row>
    <row r="72" spans="1:12" ht="15.75" thickBot="1" x14ac:dyDescent="0.25">
      <c r="A72" s="70">
        <v>43101</v>
      </c>
      <c r="B72" s="63">
        <v>2.8550480405260759</v>
      </c>
      <c r="C72" s="63">
        <v>12.2</v>
      </c>
      <c r="D72" s="63">
        <f t="shared" si="13"/>
        <v>-2.9273697768145013</v>
      </c>
      <c r="E72" s="63">
        <f t="shared" si="14"/>
        <v>2.3916666666666657</v>
      </c>
      <c r="F72" s="63">
        <f t="shared" si="17"/>
        <v>-7.0012927162146799</v>
      </c>
      <c r="G72" s="63">
        <f t="shared" si="18"/>
        <v>8.5694938102069838</v>
      </c>
      <c r="H72" s="63">
        <f t="shared" si="19"/>
        <v>5.72006944444444</v>
      </c>
      <c r="I72" s="63">
        <f t="shared" si="15"/>
        <v>4.8302755223177583</v>
      </c>
      <c r="J72" s="63">
        <f t="shared" si="20"/>
        <v>-1.9752274817916824</v>
      </c>
      <c r="K72" s="63">
        <f t="shared" si="21"/>
        <v>-2.9273697768145013</v>
      </c>
      <c r="L72" s="63">
        <f t="shared" si="16"/>
        <v>-0.95214229502281889</v>
      </c>
    </row>
    <row r="73" spans="1:12" ht="15.75" thickBot="1" x14ac:dyDescent="0.25">
      <c r="A73" s="70">
        <v>43132</v>
      </c>
      <c r="B73" s="63">
        <v>2.8447963662471709</v>
      </c>
      <c r="C73" s="63">
        <v>12.6</v>
      </c>
      <c r="D73" s="63">
        <f t="shared" si="13"/>
        <v>-2.9376214510934062</v>
      </c>
      <c r="E73" s="63">
        <f t="shared" si="14"/>
        <v>2.7916666666666661</v>
      </c>
      <c r="F73" s="63">
        <f t="shared" si="17"/>
        <v>-8.2008598843024245</v>
      </c>
      <c r="G73" s="63">
        <f t="shared" si="18"/>
        <v>8.6296197899241296</v>
      </c>
      <c r="H73" s="63">
        <f t="shared" si="19"/>
        <v>7.7934027777777741</v>
      </c>
      <c r="I73" s="63">
        <f t="shared" si="15"/>
        <v>4.6710322116519212</v>
      </c>
      <c r="J73" s="63">
        <f t="shared" si="20"/>
        <v>-1.8262358454047503</v>
      </c>
      <c r="K73" s="63">
        <f t="shared" si="21"/>
        <v>-2.9376214510934062</v>
      </c>
      <c r="L73" s="63">
        <f t="shared" si="16"/>
        <v>-1.111385605688656</v>
      </c>
    </row>
    <row r="74" spans="1:12" ht="15.75" thickBot="1" x14ac:dyDescent="0.25">
      <c r="A74" s="70">
        <v>43160</v>
      </c>
      <c r="B74" s="63">
        <v>2.6806550453633449</v>
      </c>
      <c r="C74" s="63">
        <v>13.1</v>
      </c>
      <c r="D74" s="63">
        <f t="shared" si="13"/>
        <v>-3.1017627719772323</v>
      </c>
      <c r="E74" s="63">
        <f t="shared" si="14"/>
        <v>3.2916666666666661</v>
      </c>
      <c r="F74" s="63">
        <f t="shared" si="17"/>
        <v>-10.209969124425054</v>
      </c>
      <c r="G74" s="63">
        <f t="shared" si="18"/>
        <v>9.6209322936238841</v>
      </c>
      <c r="H74" s="63">
        <f t="shared" si="19"/>
        <v>10.835069444444441</v>
      </c>
      <c r="I74" s="63">
        <f t="shared" si="15"/>
        <v>4.4719780733196242</v>
      </c>
      <c r="J74" s="63">
        <f t="shared" si="20"/>
        <v>-1.7913230279562793</v>
      </c>
      <c r="K74" s="63">
        <f t="shared" si="21"/>
        <v>-3.1017627719772323</v>
      </c>
      <c r="L74" s="63">
        <f t="shared" si="16"/>
        <v>-1.310439744020953</v>
      </c>
    </row>
    <row r="75" spans="1:12" ht="15.75" thickBot="1" x14ac:dyDescent="0.25">
      <c r="A75" s="70">
        <v>43191</v>
      </c>
      <c r="B75" s="63">
        <v>2.762684727844178</v>
      </c>
      <c r="C75" s="63">
        <v>12.9</v>
      </c>
      <c r="D75" s="63">
        <f t="shared" si="13"/>
        <v>-3.0197330894963992</v>
      </c>
      <c r="E75" s="63">
        <f t="shared" si="14"/>
        <v>3.0916666666666668</v>
      </c>
      <c r="F75" s="63">
        <f t="shared" si="17"/>
        <v>-9.3360081350263684</v>
      </c>
      <c r="G75" s="63">
        <f t="shared" si="18"/>
        <v>9.1187879317994671</v>
      </c>
      <c r="H75" s="63">
        <f t="shared" si="19"/>
        <v>9.5584027777777791</v>
      </c>
      <c r="I75" s="63">
        <f t="shared" si="15"/>
        <v>4.5515997286525423</v>
      </c>
      <c r="J75" s="63">
        <f t="shared" si="20"/>
        <v>-1.7889150008083643</v>
      </c>
      <c r="K75" s="63">
        <f t="shared" si="21"/>
        <v>-3.0197330894963992</v>
      </c>
      <c r="L75" s="63">
        <f t="shared" si="16"/>
        <v>-1.2308180886880349</v>
      </c>
    </row>
    <row r="76" spans="1:12" ht="15.75" thickBot="1" x14ac:dyDescent="0.25">
      <c r="A76" s="70">
        <v>43221</v>
      </c>
      <c r="B76" s="63">
        <v>2.8548853222565507</v>
      </c>
      <c r="C76" s="63">
        <v>12.7</v>
      </c>
      <c r="D76" s="63">
        <f t="shared" si="13"/>
        <v>-2.9275324950840265</v>
      </c>
      <c r="E76" s="63">
        <f t="shared" si="14"/>
        <v>2.8916666666666657</v>
      </c>
      <c r="F76" s="63">
        <f t="shared" si="17"/>
        <v>-8.4654481316179737</v>
      </c>
      <c r="G76" s="63">
        <f t="shared" si="18"/>
        <v>8.5704465097729052</v>
      </c>
      <c r="H76" s="63">
        <f t="shared" si="19"/>
        <v>8.3617361111111048</v>
      </c>
      <c r="I76" s="63">
        <f t="shared" si="15"/>
        <v>4.6312213839854612</v>
      </c>
      <c r="J76" s="63">
        <f t="shared" si="20"/>
        <v>-1.7763360617289106</v>
      </c>
      <c r="K76" s="63">
        <f t="shared" si="21"/>
        <v>-2.9275324950840265</v>
      </c>
      <c r="L76" s="63">
        <f t="shared" si="16"/>
        <v>-1.1511964333551159</v>
      </c>
    </row>
    <row r="77" spans="1:12" ht="15.75" thickBot="1" x14ac:dyDescent="0.25">
      <c r="A77" s="70">
        <v>43252</v>
      </c>
      <c r="B77" s="63">
        <v>4.3909560762924293</v>
      </c>
      <c r="C77" s="63">
        <v>12.4</v>
      </c>
      <c r="D77" s="63">
        <f t="shared" si="13"/>
        <v>-1.3914617410481478</v>
      </c>
      <c r="E77" s="63">
        <f t="shared" si="14"/>
        <v>2.5916666666666668</v>
      </c>
      <c r="F77" s="63">
        <f t="shared" si="17"/>
        <v>-3.6062050122164497</v>
      </c>
      <c r="G77" s="63">
        <f t="shared" si="18"/>
        <v>1.9361657768007428</v>
      </c>
      <c r="H77" s="63">
        <f t="shared" si="19"/>
        <v>6.7167361111111115</v>
      </c>
      <c r="I77" s="63">
        <f t="shared" si="15"/>
        <v>4.7506538669848393</v>
      </c>
      <c r="J77" s="63">
        <f t="shared" si="20"/>
        <v>-0.35969779069240992</v>
      </c>
      <c r="K77" s="63">
        <f t="shared" si="21"/>
        <v>-1.3914617410481478</v>
      </c>
      <c r="L77" s="63">
        <f t="shared" si="16"/>
        <v>-1.0317639503557379</v>
      </c>
    </row>
    <row r="78" spans="1:12" ht="15.75" thickBot="1" x14ac:dyDescent="0.25">
      <c r="A78" s="70">
        <v>43282</v>
      </c>
      <c r="B78" s="63">
        <v>4.4846829921630249</v>
      </c>
      <c r="C78" s="63">
        <v>12.3</v>
      </c>
      <c r="D78" s="63">
        <f t="shared" si="13"/>
        <v>-1.2977348251775522</v>
      </c>
      <c r="E78" s="63">
        <f t="shared" si="14"/>
        <v>2.4916666666666671</v>
      </c>
      <c r="F78" s="63">
        <f t="shared" si="17"/>
        <v>-3.2335226060674014</v>
      </c>
      <c r="G78" s="63">
        <f t="shared" si="18"/>
        <v>1.684115676478612</v>
      </c>
      <c r="H78" s="63">
        <f t="shared" si="19"/>
        <v>6.2084027777777804</v>
      </c>
      <c r="I78" s="63">
        <f t="shared" si="15"/>
        <v>4.7904646946512983</v>
      </c>
      <c r="J78" s="63">
        <f t="shared" si="20"/>
        <v>-0.30578170248827341</v>
      </c>
      <c r="K78" s="63">
        <f t="shared" si="21"/>
        <v>-1.2977348251775522</v>
      </c>
      <c r="L78" s="63">
        <f t="shared" si="16"/>
        <v>-0.99195312268927882</v>
      </c>
    </row>
    <row r="79" spans="1:12" ht="15.75" thickBot="1" x14ac:dyDescent="0.25">
      <c r="A79" s="70">
        <v>43313</v>
      </c>
      <c r="B79" s="63">
        <v>4.192680684170158</v>
      </c>
      <c r="C79" s="63">
        <v>12.1</v>
      </c>
      <c r="D79" s="63">
        <f t="shared" si="13"/>
        <v>-1.5897371331704191</v>
      </c>
      <c r="E79" s="63">
        <f t="shared" si="14"/>
        <v>2.2916666666666661</v>
      </c>
      <c r="F79" s="63">
        <f t="shared" si="17"/>
        <v>-3.643147596848876</v>
      </c>
      <c r="G79" s="63">
        <f t="shared" si="18"/>
        <v>2.5272641525809028</v>
      </c>
      <c r="H79" s="63">
        <f t="shared" si="19"/>
        <v>5.2517361111111081</v>
      </c>
      <c r="I79" s="63">
        <f t="shared" si="15"/>
        <v>4.8700863499842173</v>
      </c>
      <c r="J79" s="63">
        <f t="shared" si="20"/>
        <v>-0.67740566581405925</v>
      </c>
      <c r="K79" s="63">
        <f t="shared" si="21"/>
        <v>-1.5897371331704191</v>
      </c>
      <c r="L79" s="63">
        <f t="shared" si="16"/>
        <v>-0.91233146735635984</v>
      </c>
    </row>
    <row r="80" spans="1:12" ht="15.75" thickBot="1" x14ac:dyDescent="0.25">
      <c r="A80" s="70">
        <v>43344</v>
      </c>
      <c r="B80" s="63">
        <v>4.5255646480172995</v>
      </c>
      <c r="C80" s="63">
        <v>11.9</v>
      </c>
      <c r="D80" s="63">
        <f t="shared" si="13"/>
        <v>-1.2568531693232776</v>
      </c>
      <c r="E80" s="63">
        <f t="shared" si="14"/>
        <v>2.0916666666666668</v>
      </c>
      <c r="F80" s="63">
        <f t="shared" si="17"/>
        <v>-2.6289178791678558</v>
      </c>
      <c r="G80" s="63">
        <f t="shared" si="18"/>
        <v>1.5796798892379675</v>
      </c>
      <c r="H80" s="63">
        <f t="shared" si="19"/>
        <v>4.3750694444444447</v>
      </c>
      <c r="I80" s="63">
        <f t="shared" si="15"/>
        <v>4.9497080053171354</v>
      </c>
      <c r="J80" s="63">
        <f t="shared" si="20"/>
        <v>-0.42414335729983588</v>
      </c>
      <c r="K80" s="63">
        <f t="shared" si="21"/>
        <v>-1.2568531693232776</v>
      </c>
      <c r="L80" s="63">
        <f t="shared" si="16"/>
        <v>-0.83270981202344174</v>
      </c>
    </row>
    <row r="81" spans="1:12" ht="15.75" thickBot="1" x14ac:dyDescent="0.25">
      <c r="A81" s="70">
        <v>43374</v>
      </c>
      <c r="B81" s="63">
        <v>4.5567911660360672</v>
      </c>
      <c r="C81" s="63">
        <v>11.7</v>
      </c>
      <c r="D81" s="63">
        <f t="shared" si="13"/>
        <v>-1.22562665130451</v>
      </c>
      <c r="E81" s="63">
        <f t="shared" si="14"/>
        <v>1.8916666666666657</v>
      </c>
      <c r="F81" s="63">
        <f t="shared" si="17"/>
        <v>-2.3184770820510301</v>
      </c>
      <c r="G81" s="63">
        <f t="shared" si="18"/>
        <v>1.5021606883879068</v>
      </c>
      <c r="H81" s="63">
        <f t="shared" si="19"/>
        <v>3.5784027777777743</v>
      </c>
      <c r="I81" s="63">
        <f t="shared" si="15"/>
        <v>5.0293296606500544</v>
      </c>
      <c r="J81" s="63">
        <f t="shared" si="20"/>
        <v>-0.47253849461398723</v>
      </c>
      <c r="K81" s="63">
        <f t="shared" si="21"/>
        <v>-1.22562665130451</v>
      </c>
      <c r="L81" s="63">
        <f t="shared" si="16"/>
        <v>-0.75308815669052276</v>
      </c>
    </row>
    <row r="82" spans="1:12" ht="15.75" thickBot="1" x14ac:dyDescent="0.25">
      <c r="A82" s="70">
        <v>43405</v>
      </c>
      <c r="B82" s="63">
        <v>4.0458934030588312</v>
      </c>
      <c r="C82" s="63">
        <v>11.6</v>
      </c>
      <c r="D82" s="63">
        <f t="shared" si="13"/>
        <v>-1.736524414281746</v>
      </c>
      <c r="E82" s="63">
        <f t="shared" si="14"/>
        <v>1.7916666666666661</v>
      </c>
      <c r="F82" s="63">
        <f t="shared" si="17"/>
        <v>-3.1112729089214604</v>
      </c>
      <c r="G82" s="63">
        <f t="shared" si="18"/>
        <v>3.0155170413965608</v>
      </c>
      <c r="H82" s="63">
        <f t="shared" si="19"/>
        <v>3.2100694444444424</v>
      </c>
      <c r="I82" s="63">
        <f t="shared" si="15"/>
        <v>5.0691404883165143</v>
      </c>
      <c r="J82" s="63">
        <f t="shared" si="20"/>
        <v>-1.0232470852576832</v>
      </c>
      <c r="K82" s="63">
        <f t="shared" si="21"/>
        <v>-1.736524414281746</v>
      </c>
      <c r="L82" s="63">
        <f t="shared" si="16"/>
        <v>-0.71327732902406282</v>
      </c>
    </row>
    <row r="83" spans="1:12" ht="15.75" thickBot="1" x14ac:dyDescent="0.25">
      <c r="A83" s="70">
        <v>43435</v>
      </c>
      <c r="B83" s="63">
        <v>3.7454821218273926</v>
      </c>
      <c r="C83" s="63">
        <v>11.6</v>
      </c>
      <c r="D83" s="63">
        <f t="shared" si="13"/>
        <v>-2.0369356955131845</v>
      </c>
      <c r="E83" s="63">
        <f t="shared" si="14"/>
        <v>1.7916666666666661</v>
      </c>
      <c r="F83" s="63">
        <f t="shared" si="17"/>
        <v>-3.6495097877944542</v>
      </c>
      <c r="G83" s="63">
        <f t="shared" si="18"/>
        <v>4.1491070276557807</v>
      </c>
      <c r="H83" s="63">
        <f t="shared" si="19"/>
        <v>3.2100694444444424</v>
      </c>
      <c r="I83" s="63">
        <f t="shared" si="15"/>
        <v>5.0691404883165143</v>
      </c>
      <c r="J83" s="63">
        <f t="shared" si="20"/>
        <v>-1.3236583664891217</v>
      </c>
      <c r="K83" s="63">
        <f t="shared" si="21"/>
        <v>-2.0369356955131845</v>
      </c>
      <c r="L83" s="63">
        <f t="shared" si="16"/>
        <v>-0.71327732902406282</v>
      </c>
    </row>
    <row r="84" spans="1:12" ht="15.75" thickBot="1" x14ac:dyDescent="0.25">
      <c r="A84" s="70">
        <v>43466</v>
      </c>
      <c r="B84" s="63">
        <v>3.7765157688874451</v>
      </c>
      <c r="C84" s="63">
        <v>12</v>
      </c>
      <c r="D84" s="63">
        <f t="shared" si="13"/>
        <v>-2.005902048453132</v>
      </c>
      <c r="E84" s="63">
        <f t="shared" si="14"/>
        <v>2.1916666666666664</v>
      </c>
      <c r="F84" s="63">
        <f t="shared" si="17"/>
        <v>-4.3962686561931141</v>
      </c>
      <c r="G84" s="63">
        <f t="shared" si="18"/>
        <v>4.023643027988471</v>
      </c>
      <c r="H84" s="63">
        <f t="shared" si="19"/>
        <v>4.8034027777777766</v>
      </c>
      <c r="I84" s="63">
        <f t="shared" si="15"/>
        <v>4.9098971776506763</v>
      </c>
      <c r="J84" s="63">
        <f t="shared" si="20"/>
        <v>-1.1333814087632312</v>
      </c>
      <c r="K84" s="63">
        <f t="shared" si="21"/>
        <v>-2.005902048453132</v>
      </c>
      <c r="L84" s="63">
        <f t="shared" si="16"/>
        <v>-0.87252063968990079</v>
      </c>
    </row>
    <row r="85" spans="1:12" ht="15.75" thickBot="1" x14ac:dyDescent="0.25">
      <c r="A85" s="70">
        <v>43497</v>
      </c>
      <c r="B85" s="63">
        <v>3.8903058081077635</v>
      </c>
      <c r="C85" s="63">
        <v>12.4</v>
      </c>
      <c r="D85" s="63">
        <f t="shared" si="13"/>
        <v>-1.8921120092328136</v>
      </c>
      <c r="E85" s="63">
        <f t="shared" si="14"/>
        <v>2.5916666666666668</v>
      </c>
      <c r="F85" s="63">
        <f t="shared" si="17"/>
        <v>-4.9037236239283759</v>
      </c>
      <c r="G85" s="63">
        <f t="shared" si="18"/>
        <v>3.5800878554830349</v>
      </c>
      <c r="H85" s="63">
        <f t="shared" si="19"/>
        <v>6.7167361111111115</v>
      </c>
      <c r="I85" s="63">
        <f t="shared" si="15"/>
        <v>4.7506538669848393</v>
      </c>
      <c r="J85" s="63">
        <f t="shared" si="20"/>
        <v>-0.86034805887707577</v>
      </c>
      <c r="K85" s="63">
        <f t="shared" si="21"/>
        <v>-1.8921120092328136</v>
      </c>
      <c r="L85" s="63">
        <f t="shared" si="16"/>
        <v>-1.0317639503557379</v>
      </c>
    </row>
    <row r="86" spans="1:12" ht="15.75" thickBot="1" x14ac:dyDescent="0.25">
      <c r="A86" s="70">
        <v>43525</v>
      </c>
      <c r="B86" s="63">
        <v>4.575365272922971</v>
      </c>
      <c r="C86" s="63">
        <v>12.7</v>
      </c>
      <c r="D86" s="63">
        <f t="shared" si="13"/>
        <v>-1.2070525444176061</v>
      </c>
      <c r="E86" s="63">
        <f t="shared" si="14"/>
        <v>2.8916666666666657</v>
      </c>
      <c r="F86" s="63">
        <f t="shared" si="17"/>
        <v>-3.4903936076075768</v>
      </c>
      <c r="G86" s="63">
        <f t="shared" si="18"/>
        <v>1.456975844985017</v>
      </c>
      <c r="H86" s="63">
        <f t="shared" si="19"/>
        <v>8.3617361111111048</v>
      </c>
      <c r="I86" s="63">
        <f t="shared" si="15"/>
        <v>4.6312213839854612</v>
      </c>
      <c r="J86" s="63">
        <f t="shared" si="20"/>
        <v>-5.5856111062490221E-2</v>
      </c>
      <c r="K86" s="63">
        <f t="shared" si="21"/>
        <v>-1.2070525444176061</v>
      </c>
      <c r="L86" s="63">
        <f t="shared" si="16"/>
        <v>-1.1511964333551159</v>
      </c>
    </row>
    <row r="87" spans="1:12" ht="15.75" thickBot="1" x14ac:dyDescent="0.25">
      <c r="A87" s="70">
        <v>43556</v>
      </c>
      <c r="B87" s="63">
        <v>4.9405755886834823</v>
      </c>
      <c r="C87" s="63">
        <v>12.5</v>
      </c>
      <c r="D87" s="63">
        <f t="shared" si="13"/>
        <v>-0.84184222865709479</v>
      </c>
      <c r="E87" s="63">
        <f t="shared" si="14"/>
        <v>2.6916666666666664</v>
      </c>
      <c r="F87" s="63">
        <f t="shared" si="17"/>
        <v>-2.2659586654686801</v>
      </c>
      <c r="G87" s="63">
        <f t="shared" si="18"/>
        <v>0.70869833795034431</v>
      </c>
      <c r="H87" s="63">
        <f t="shared" si="19"/>
        <v>7.245069444444443</v>
      </c>
      <c r="I87" s="63">
        <f t="shared" si="15"/>
        <v>4.7108430393183802</v>
      </c>
      <c r="J87" s="63">
        <f t="shared" si="20"/>
        <v>0.22973254936510212</v>
      </c>
      <c r="K87" s="63">
        <f t="shared" si="21"/>
        <v>-0.84184222865709479</v>
      </c>
      <c r="L87" s="63">
        <f t="shared" si="16"/>
        <v>-1.0715747780221969</v>
      </c>
    </row>
    <row r="88" spans="1:12" ht="15.75" thickBot="1" x14ac:dyDescent="0.25">
      <c r="A88" s="70">
        <v>43586</v>
      </c>
      <c r="B88" s="63">
        <v>4.6583648774390696</v>
      </c>
      <c r="C88" s="63">
        <v>12.3</v>
      </c>
      <c r="D88" s="63">
        <f t="shared" si="13"/>
        <v>-1.1240529399015076</v>
      </c>
      <c r="E88" s="63">
        <f t="shared" si="14"/>
        <v>2.4916666666666671</v>
      </c>
      <c r="F88" s="63">
        <f t="shared" si="17"/>
        <v>-2.800765241921257</v>
      </c>
      <c r="G88" s="63">
        <f t="shared" si="18"/>
        <v>1.2634950117012222</v>
      </c>
      <c r="H88" s="63">
        <f t="shared" si="19"/>
        <v>6.2084027777777804</v>
      </c>
      <c r="I88" s="63">
        <f t="shared" si="15"/>
        <v>4.7904646946512983</v>
      </c>
      <c r="J88" s="63">
        <f t="shared" si="20"/>
        <v>-0.13209981721222874</v>
      </c>
      <c r="K88" s="63">
        <f t="shared" si="21"/>
        <v>-1.1240529399015076</v>
      </c>
      <c r="L88" s="63">
        <f t="shared" si="16"/>
        <v>-0.99195312268927882</v>
      </c>
    </row>
    <row r="89" spans="1:12" ht="15.75" thickBot="1" x14ac:dyDescent="0.25">
      <c r="A89" s="70">
        <v>43617</v>
      </c>
      <c r="B89" s="63">
        <v>3.3664138988019232</v>
      </c>
      <c r="C89" s="63">
        <v>12</v>
      </c>
      <c r="D89" s="63">
        <f t="shared" si="13"/>
        <v>-2.4160039185386539</v>
      </c>
      <c r="E89" s="63">
        <f t="shared" si="14"/>
        <v>2.1916666666666664</v>
      </c>
      <c r="F89" s="63">
        <f t="shared" si="17"/>
        <v>-5.295075254797216</v>
      </c>
      <c r="G89" s="63">
        <f t="shared" si="18"/>
        <v>5.8370749343941304</v>
      </c>
      <c r="H89" s="63">
        <f t="shared" si="19"/>
        <v>4.8034027777777766</v>
      </c>
      <c r="I89" s="63">
        <f t="shared" si="15"/>
        <v>4.9098971776506763</v>
      </c>
      <c r="J89" s="63">
        <f t="shared" si="20"/>
        <v>-1.5434832788487531</v>
      </c>
      <c r="K89" s="63">
        <f t="shared" si="21"/>
        <v>-2.4160039185386539</v>
      </c>
      <c r="L89" s="63">
        <f t="shared" si="16"/>
        <v>-0.87252063968990079</v>
      </c>
    </row>
    <row r="90" spans="1:12" ht="15.75" thickBot="1" x14ac:dyDescent="0.25">
      <c r="A90" s="70">
        <v>43647</v>
      </c>
      <c r="B90" s="63">
        <v>3.2221769014348478</v>
      </c>
      <c r="C90" s="63">
        <v>11.8</v>
      </c>
      <c r="D90" s="63">
        <f t="shared" si="13"/>
        <v>-2.5602409159057293</v>
      </c>
      <c r="E90" s="63">
        <f t="shared" si="14"/>
        <v>1.9916666666666671</v>
      </c>
      <c r="F90" s="63">
        <f t="shared" si="17"/>
        <v>-5.0991464908455786</v>
      </c>
      <c r="G90" s="63">
        <f t="shared" si="18"/>
        <v>6.5548335474778074</v>
      </c>
      <c r="H90" s="63">
        <f t="shared" si="19"/>
        <v>3.9667361111111128</v>
      </c>
      <c r="I90" s="63">
        <f t="shared" si="15"/>
        <v>4.9895188329835953</v>
      </c>
      <c r="J90" s="63">
        <f t="shared" si="20"/>
        <v>-1.7673419315487475</v>
      </c>
      <c r="K90" s="63">
        <f t="shared" si="21"/>
        <v>-2.5602409159057293</v>
      </c>
      <c r="L90" s="63">
        <f t="shared" si="16"/>
        <v>-0.79289898435698181</v>
      </c>
    </row>
    <row r="91" spans="1:12" ht="15.75" thickBot="1" x14ac:dyDescent="0.25">
      <c r="A91" s="70">
        <v>43678</v>
      </c>
      <c r="B91" s="63">
        <v>3.4288072225267641</v>
      </c>
      <c r="C91" s="63">
        <v>11.8</v>
      </c>
      <c r="D91" s="63">
        <f t="shared" si="13"/>
        <v>-2.3536105948138131</v>
      </c>
      <c r="E91" s="63">
        <f t="shared" si="14"/>
        <v>1.9916666666666671</v>
      </c>
      <c r="F91" s="63">
        <f t="shared" si="17"/>
        <v>-4.6876077680041792</v>
      </c>
      <c r="G91" s="63">
        <f t="shared" si="18"/>
        <v>5.5394828320198313</v>
      </c>
      <c r="H91" s="63">
        <f t="shared" si="19"/>
        <v>3.9667361111111128</v>
      </c>
      <c r="I91" s="63">
        <f t="shared" si="15"/>
        <v>4.9895188329835953</v>
      </c>
      <c r="J91" s="63">
        <f t="shared" si="20"/>
        <v>-1.5607116104568313</v>
      </c>
      <c r="K91" s="63">
        <f t="shared" si="21"/>
        <v>-2.3536105948138131</v>
      </c>
      <c r="L91" s="63">
        <f t="shared" si="16"/>
        <v>-0.79289898435698181</v>
      </c>
    </row>
    <row r="92" spans="1:12" ht="15.75" thickBot="1" x14ac:dyDescent="0.25">
      <c r="A92" s="70">
        <v>43709</v>
      </c>
      <c r="B92" s="63">
        <v>2.8935466755948935</v>
      </c>
      <c r="C92" s="63">
        <v>11.8</v>
      </c>
      <c r="D92" s="63">
        <f t="shared" si="13"/>
        <v>-2.8888711417456836</v>
      </c>
      <c r="E92" s="63">
        <f t="shared" si="14"/>
        <v>1.9916666666666671</v>
      </c>
      <c r="F92" s="63">
        <f t="shared" si="17"/>
        <v>-5.7536683573101541</v>
      </c>
      <c r="G92" s="63">
        <f t="shared" si="18"/>
        <v>8.3455764736110094</v>
      </c>
      <c r="H92" s="63">
        <f t="shared" si="19"/>
        <v>3.9667361111111128</v>
      </c>
      <c r="I92" s="63">
        <f t="shared" si="15"/>
        <v>4.9895188329835953</v>
      </c>
      <c r="J92" s="63">
        <f t="shared" si="20"/>
        <v>-2.0959721573887018</v>
      </c>
      <c r="K92" s="63">
        <f t="shared" si="21"/>
        <v>-2.8888711417456836</v>
      </c>
      <c r="L92" s="63">
        <f t="shared" si="16"/>
        <v>-0.79289898435698181</v>
      </c>
    </row>
    <row r="93" spans="1:12" ht="15.75" thickBot="1" x14ac:dyDescent="0.25">
      <c r="A93" s="70">
        <v>43739</v>
      </c>
      <c r="B93" s="63">
        <v>2.5350325756799075</v>
      </c>
      <c r="C93" s="63">
        <v>11.6</v>
      </c>
      <c r="D93" s="63">
        <f t="shared" si="13"/>
        <v>-3.2473852416606697</v>
      </c>
      <c r="E93" s="63">
        <f t="shared" si="14"/>
        <v>1.7916666666666661</v>
      </c>
      <c r="F93" s="63">
        <f t="shared" si="17"/>
        <v>-5.8182318913086979</v>
      </c>
      <c r="G93" s="63">
        <f t="shared" si="18"/>
        <v>10.545510907755526</v>
      </c>
      <c r="H93" s="63">
        <f t="shared" si="19"/>
        <v>3.2100694444444424</v>
      </c>
      <c r="I93" s="63">
        <f t="shared" si="15"/>
        <v>5.0691404883165143</v>
      </c>
      <c r="J93" s="63">
        <f t="shared" si="20"/>
        <v>-2.5341079126366068</v>
      </c>
      <c r="K93" s="63">
        <f t="shared" si="21"/>
        <v>-3.2473852416606697</v>
      </c>
      <c r="L93" s="63">
        <f t="shared" si="16"/>
        <v>-0.71327732902406282</v>
      </c>
    </row>
    <row r="94" spans="1:12" ht="15.75" thickBot="1" x14ac:dyDescent="0.25">
      <c r="A94" s="70">
        <v>43770</v>
      </c>
      <c r="B94" s="63">
        <v>3.2748384024610777</v>
      </c>
      <c r="C94" s="63">
        <v>11.2</v>
      </c>
      <c r="D94" s="63">
        <f t="shared" si="13"/>
        <v>-2.5075794148794994</v>
      </c>
      <c r="E94" s="63">
        <f t="shared" si="14"/>
        <v>1.3916666666666657</v>
      </c>
      <c r="F94" s="63">
        <f t="shared" si="17"/>
        <v>-3.4897146857073009</v>
      </c>
      <c r="G94" s="63">
        <f t="shared" si="18"/>
        <v>6.2879545219274124</v>
      </c>
      <c r="H94" s="63">
        <f t="shared" si="19"/>
        <v>1.9367361111111085</v>
      </c>
      <c r="I94" s="63">
        <f t="shared" si="15"/>
        <v>5.2283837989823514</v>
      </c>
      <c r="J94" s="63">
        <f t="shared" si="20"/>
        <v>-1.9535453965212737</v>
      </c>
      <c r="K94" s="63">
        <f t="shared" si="21"/>
        <v>-2.5075794148794994</v>
      </c>
      <c r="L94" s="63">
        <f t="shared" si="16"/>
        <v>-0.55403401835822574</v>
      </c>
    </row>
    <row r="95" spans="1:12" ht="15.75" thickBot="1" x14ac:dyDescent="0.25">
      <c r="A95" s="70">
        <v>43800</v>
      </c>
      <c r="B95" s="63">
        <v>4.3060399841131636</v>
      </c>
      <c r="C95" s="63">
        <v>11</v>
      </c>
      <c r="D95" s="63">
        <f t="shared" si="13"/>
        <v>-1.4763778332274136</v>
      </c>
      <c r="E95" s="63">
        <f t="shared" si="14"/>
        <v>1.1916666666666664</v>
      </c>
      <c r="F95" s="63">
        <f t="shared" si="17"/>
        <v>-1.7593502512626675</v>
      </c>
      <c r="G95" s="63">
        <f t="shared" si="18"/>
        <v>2.1796915064452724</v>
      </c>
      <c r="H95" s="63">
        <f t="shared" si="19"/>
        <v>1.4200694444444439</v>
      </c>
      <c r="I95" s="63">
        <f t="shared" si="15"/>
        <v>5.3080054543152695</v>
      </c>
      <c r="J95" s="63">
        <f t="shared" si="20"/>
        <v>-1.0019654702021059</v>
      </c>
      <c r="K95" s="63">
        <f t="shared" si="21"/>
        <v>-1.4763778332274136</v>
      </c>
      <c r="L95" s="63">
        <f t="shared" si="16"/>
        <v>-0.47441236302530765</v>
      </c>
    </row>
    <row r="96" spans="1:12" ht="15.75" thickBot="1" x14ac:dyDescent="0.25">
      <c r="A96" s="70">
        <v>43831</v>
      </c>
      <c r="B96" s="63">
        <v>4.1916693262358473</v>
      </c>
      <c r="C96" s="63">
        <v>11.2</v>
      </c>
      <c r="D96" s="63">
        <f t="shared" si="13"/>
        <v>-1.5907484911047298</v>
      </c>
      <c r="E96" s="63">
        <f t="shared" si="14"/>
        <v>1.3916666666666657</v>
      </c>
      <c r="F96" s="63">
        <f t="shared" si="17"/>
        <v>-2.2137916501207475</v>
      </c>
      <c r="G96" s="63">
        <f t="shared" si="18"/>
        <v>2.5304807619519747</v>
      </c>
      <c r="H96" s="63">
        <f t="shared" si="19"/>
        <v>1.9367361111111085</v>
      </c>
      <c r="I96" s="63">
        <f t="shared" si="15"/>
        <v>5.2283837989823514</v>
      </c>
      <c r="J96" s="63">
        <f t="shared" si="20"/>
        <v>-1.0367144727465041</v>
      </c>
      <c r="K96" s="63">
        <f t="shared" si="21"/>
        <v>-1.5907484911047298</v>
      </c>
      <c r="L96" s="63">
        <f t="shared" si="16"/>
        <v>-0.55403401835822574</v>
      </c>
    </row>
    <row r="97" spans="1:12" ht="15.75" thickBot="1" x14ac:dyDescent="0.25">
      <c r="A97" s="71">
        <v>43862</v>
      </c>
      <c r="B97" s="64">
        <v>4.0049273121093965</v>
      </c>
      <c r="C97" s="64">
        <v>11.6</v>
      </c>
      <c r="D97" s="64">
        <f t="shared" si="13"/>
        <v>-1.7774905052311807</v>
      </c>
      <c r="E97" s="63">
        <f t="shared" si="14"/>
        <v>1.7916666666666661</v>
      </c>
      <c r="F97" s="63">
        <f t="shared" si="17"/>
        <v>-3.1846704885391977</v>
      </c>
      <c r="G97" s="63">
        <f t="shared" si="18"/>
        <v>3.1594724961869978</v>
      </c>
      <c r="H97" s="63">
        <f t="shared" si="19"/>
        <v>3.2100694444444424</v>
      </c>
      <c r="I97" s="63">
        <f t="shared" si="15"/>
        <v>5.0691404883165143</v>
      </c>
      <c r="J97" s="63">
        <f t="shared" si="20"/>
        <v>-1.0642131762071179</v>
      </c>
      <c r="K97" s="63">
        <f t="shared" si="21"/>
        <v>-1.7774905052311807</v>
      </c>
      <c r="L97" s="63">
        <f t="shared" si="16"/>
        <v>-0.71327732902406282</v>
      </c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Estatistica descritiva</vt:lpstr>
      <vt:lpstr>Boxplot</vt:lpstr>
      <vt:lpstr>Modelo econométrico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F.</dc:creator>
  <cp:lastModifiedBy>gioam</cp:lastModifiedBy>
  <dcterms:created xsi:type="dcterms:W3CDTF">2020-04-01T02:39:32Z</dcterms:created>
  <dcterms:modified xsi:type="dcterms:W3CDTF">2021-03-13T02:02:48Z</dcterms:modified>
</cp:coreProperties>
</file>