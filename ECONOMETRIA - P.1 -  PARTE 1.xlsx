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ioam\OneDrive\Documentos\DOCS FACU\"/>
    </mc:Choice>
  </mc:AlternateContent>
  <workbookProtection workbookAlgorithmName="SHA-512" workbookHashValue="hGh2SbXWqNpczzc/gbiCOMVw9BC4oB2E82nPs5RjW1hGwKFtge1ni7tKr3Hww9XEbNrslXxbcecbZ5N0TaGh8g==" workbookSaltValue="YmPmI70yhVkbqnVIpnAGGw==" workbookSpinCount="100000" lockStructure="1"/>
  <bookViews>
    <workbookView xWindow="0" yWindow="0" windowWidth="10215" windowHeight="5220" firstSheet="3" activeTab="3"/>
  </bookViews>
  <sheets>
    <sheet name="Database Geral" sheetId="1" state="hidden" r:id="rId1"/>
    <sheet name="Cruzamento" sheetId="3" state="hidden" r:id="rId2"/>
    <sheet name="Base de Dados P1" sheetId="2" r:id="rId3"/>
    <sheet name="Planilha Suporte" sheetId="4" r:id="rId4"/>
  </sheets>
  <externalReferences>
    <externalReference r:id="rId5"/>
  </externalReferences>
  <definedNames>
    <definedName name="_xlnm._FilterDatabase" localSheetId="1" hidden="1">Cruzamento!$A$1:$C$31</definedName>
    <definedName name="_xlnm._FilterDatabase" localSheetId="0" hidden="1">'Database Geral'!$A$1:$G$65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4" l="1"/>
  <c r="N11" i="4"/>
  <c r="N4" i="4"/>
  <c r="N5" i="4"/>
  <c r="D3" i="4" l="1"/>
  <c r="Y37" i="4"/>
  <c r="R20" i="4"/>
  <c r="O22" i="4"/>
  <c r="N22" i="4"/>
  <c r="N21" i="4"/>
  <c r="N12" i="4"/>
  <c r="Z2" i="4" l="1"/>
  <c r="Z3" i="4"/>
  <c r="Z4" i="4"/>
  <c r="Z5" i="4"/>
  <c r="Z6" i="4"/>
  <c r="Z7" i="4"/>
  <c r="Z8" i="4"/>
  <c r="V3" i="4"/>
  <c r="V4" i="4"/>
  <c r="V5" i="4"/>
  <c r="V6" i="4"/>
  <c r="V7" i="4"/>
  <c r="V8" i="4"/>
  <c r="Y7" i="4"/>
  <c r="Y6" i="4"/>
  <c r="Y5" i="4"/>
  <c r="Y4" i="4"/>
  <c r="Y2" i="4"/>
  <c r="Y8" i="4"/>
  <c r="Y3" i="4"/>
  <c r="U8" i="4"/>
  <c r="U7" i="4"/>
  <c r="U6" i="4"/>
  <c r="U5" i="4"/>
  <c r="U4" i="4"/>
  <c r="U3" i="4"/>
  <c r="V59" i="4"/>
  <c r="V60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3" i="4"/>
  <c r="D10" i="4"/>
  <c r="D4" i="4"/>
  <c r="D5" i="4"/>
  <c r="D6" i="4"/>
  <c r="D7" i="4"/>
  <c r="D8" i="4"/>
  <c r="D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N3" i="4"/>
  <c r="N2" i="4"/>
  <c r="I59" i="4" l="1"/>
  <c r="I35" i="4"/>
  <c r="I11" i="4"/>
  <c r="I25" i="4"/>
  <c r="I42" i="4"/>
  <c r="I40" i="4"/>
  <c r="I24" i="4"/>
  <c r="I8" i="4"/>
  <c r="I60" i="4"/>
  <c r="I44" i="4"/>
  <c r="I28" i="4"/>
  <c r="I12" i="4"/>
  <c r="I3" i="4"/>
  <c r="I66" i="4"/>
  <c r="I34" i="4"/>
  <c r="I18" i="4"/>
  <c r="I57" i="4"/>
  <c r="I33" i="4"/>
  <c r="I9" i="4"/>
  <c r="I56" i="4"/>
  <c r="I48" i="4"/>
  <c r="I32" i="4"/>
  <c r="I63" i="4"/>
  <c r="I55" i="4"/>
  <c r="I47" i="4"/>
  <c r="I39" i="4"/>
  <c r="I31" i="4"/>
  <c r="I23" i="4"/>
  <c r="I15" i="4"/>
  <c r="I7" i="4"/>
  <c r="I51" i="4"/>
  <c r="I19" i="4"/>
  <c r="I58" i="4"/>
  <c r="I49" i="4"/>
  <c r="I64" i="4"/>
  <c r="I62" i="4"/>
  <c r="I54" i="4"/>
  <c r="I46" i="4"/>
  <c r="I38" i="4"/>
  <c r="I30" i="4"/>
  <c r="I22" i="4"/>
  <c r="I14" i="4"/>
  <c r="I6" i="4"/>
  <c r="I52" i="4"/>
  <c r="I36" i="4"/>
  <c r="I20" i="4"/>
  <c r="I4" i="4"/>
  <c r="I43" i="4"/>
  <c r="I27" i="4"/>
  <c r="I50" i="4"/>
  <c r="I26" i="4"/>
  <c r="I10" i="4"/>
  <c r="I65" i="4"/>
  <c r="I41" i="4"/>
  <c r="I17" i="4"/>
  <c r="I16" i="4"/>
  <c r="I61" i="4"/>
  <c r="I53" i="4"/>
  <c r="I45" i="4"/>
  <c r="I37" i="4"/>
  <c r="I29" i="4"/>
  <c r="I21" i="4"/>
  <c r="I13" i="4"/>
  <c r="I5" i="4"/>
  <c r="D2" i="2"/>
  <c r="D66" i="2" s="1"/>
  <c r="C66" i="4" s="1"/>
  <c r="C2" i="2"/>
  <c r="C3" i="2" s="1"/>
  <c r="B3" i="4" s="1"/>
  <c r="K4" i="4" l="1"/>
  <c r="J4" i="4"/>
  <c r="J55" i="4"/>
  <c r="K55" i="4"/>
  <c r="J21" i="4"/>
  <c r="K21" i="4"/>
  <c r="J24" i="4"/>
  <c r="K24" i="4"/>
  <c r="J65" i="4"/>
  <c r="K65" i="4"/>
  <c r="K36" i="4"/>
  <c r="J36" i="4"/>
  <c r="J54" i="4"/>
  <c r="K54" i="4"/>
  <c r="J7" i="4"/>
  <c r="K7" i="4"/>
  <c r="J32" i="4"/>
  <c r="K32" i="4"/>
  <c r="K66" i="4"/>
  <c r="J66" i="4"/>
  <c r="J40" i="4"/>
  <c r="K40" i="4"/>
  <c r="J38" i="4"/>
  <c r="K38" i="4"/>
  <c r="K20" i="4"/>
  <c r="J20" i="4"/>
  <c r="J10" i="4"/>
  <c r="K10" i="4"/>
  <c r="K3" i="4"/>
  <c r="J3" i="4"/>
  <c r="J6" i="4"/>
  <c r="K6" i="4"/>
  <c r="J23" i="4"/>
  <c r="K23" i="4"/>
  <c r="J56" i="4"/>
  <c r="K56" i="4"/>
  <c r="K12" i="4"/>
  <c r="J12" i="4"/>
  <c r="K25" i="4"/>
  <c r="J25" i="4"/>
  <c r="J51" i="4"/>
  <c r="K51" i="4"/>
  <c r="K34" i="4"/>
  <c r="J34" i="4"/>
  <c r="J48" i="4"/>
  <c r="K48" i="4"/>
  <c r="K49" i="4"/>
  <c r="J49" i="4"/>
  <c r="K11" i="4"/>
  <c r="J11" i="4"/>
  <c r="J13" i="4"/>
  <c r="K13" i="4"/>
  <c r="J18" i="4"/>
  <c r="K18" i="4"/>
  <c r="J41" i="4"/>
  <c r="K41" i="4"/>
  <c r="J46" i="4"/>
  <c r="K46" i="4"/>
  <c r="J29" i="4"/>
  <c r="K29" i="4"/>
  <c r="J37" i="4"/>
  <c r="K37" i="4"/>
  <c r="J62" i="4"/>
  <c r="K62" i="4"/>
  <c r="J15" i="4"/>
  <c r="K15" i="4"/>
  <c r="J45" i="4"/>
  <c r="K45" i="4"/>
  <c r="J26" i="4"/>
  <c r="K26" i="4"/>
  <c r="J53" i="4"/>
  <c r="K53" i="4"/>
  <c r="K50" i="4"/>
  <c r="J50" i="4"/>
  <c r="J31" i="4"/>
  <c r="K31" i="4"/>
  <c r="K9" i="4"/>
  <c r="J9" i="4"/>
  <c r="K28" i="4"/>
  <c r="J28" i="4"/>
  <c r="J61" i="4"/>
  <c r="K61" i="4"/>
  <c r="J27" i="4"/>
  <c r="K27" i="4"/>
  <c r="J22" i="4"/>
  <c r="K22" i="4"/>
  <c r="J58" i="4"/>
  <c r="K58" i="4"/>
  <c r="J39" i="4"/>
  <c r="K39" i="4"/>
  <c r="K33" i="4"/>
  <c r="J33" i="4"/>
  <c r="K44" i="4"/>
  <c r="J44" i="4"/>
  <c r="J35" i="4"/>
  <c r="K35" i="4"/>
  <c r="K17" i="4"/>
  <c r="J17" i="4"/>
  <c r="J8" i="4"/>
  <c r="K8" i="4"/>
  <c r="J63" i="4"/>
  <c r="K63" i="4"/>
  <c r="K52" i="4"/>
  <c r="J52" i="4"/>
  <c r="J42" i="4"/>
  <c r="K42" i="4"/>
  <c r="J64" i="4"/>
  <c r="K64" i="4"/>
  <c r="J14" i="4"/>
  <c r="K14" i="4"/>
  <c r="J5" i="4"/>
  <c r="K5" i="4"/>
  <c r="J16" i="4"/>
  <c r="K16" i="4"/>
  <c r="K43" i="4"/>
  <c r="J43" i="4"/>
  <c r="J30" i="4"/>
  <c r="K30" i="4"/>
  <c r="K19" i="4"/>
  <c r="J19" i="4"/>
  <c r="J47" i="4"/>
  <c r="K47" i="4"/>
  <c r="K57" i="4"/>
  <c r="J57" i="4"/>
  <c r="K60" i="4"/>
  <c r="J60" i="4"/>
  <c r="J59" i="4"/>
  <c r="K59" i="4"/>
  <c r="B2" i="4"/>
  <c r="C2" i="4"/>
  <c r="C66" i="2"/>
  <c r="B66" i="4" s="1"/>
  <c r="C30" i="2"/>
  <c r="B30" i="4" s="1"/>
  <c r="C5" i="2"/>
  <c r="B5" i="4" s="1"/>
  <c r="C7" i="2"/>
  <c r="B7" i="4" s="1"/>
  <c r="C9" i="2"/>
  <c r="B9" i="4" s="1"/>
  <c r="C11" i="2"/>
  <c r="B11" i="4" s="1"/>
  <c r="C13" i="2"/>
  <c r="B13" i="4" s="1"/>
  <c r="C15" i="2"/>
  <c r="B15" i="4" s="1"/>
  <c r="C17" i="2"/>
  <c r="B17" i="4" s="1"/>
  <c r="C19" i="2"/>
  <c r="B19" i="4" s="1"/>
  <c r="C21" i="2"/>
  <c r="B21" i="4" s="1"/>
  <c r="C23" i="2"/>
  <c r="B23" i="4" s="1"/>
  <c r="C25" i="2"/>
  <c r="B25" i="4" s="1"/>
  <c r="C27" i="2"/>
  <c r="B27" i="4" s="1"/>
  <c r="C29" i="2"/>
  <c r="B29" i="4" s="1"/>
  <c r="C31" i="2"/>
  <c r="B31" i="4" s="1"/>
  <c r="C33" i="2"/>
  <c r="B33" i="4" s="1"/>
  <c r="C35" i="2"/>
  <c r="B35" i="4" s="1"/>
  <c r="C37" i="2"/>
  <c r="B37" i="4" s="1"/>
  <c r="C39" i="2"/>
  <c r="B39" i="4" s="1"/>
  <c r="C41" i="2"/>
  <c r="B41" i="4" s="1"/>
  <c r="C43" i="2"/>
  <c r="B43" i="4" s="1"/>
  <c r="C45" i="2"/>
  <c r="B45" i="4" s="1"/>
  <c r="C47" i="2"/>
  <c r="B47" i="4" s="1"/>
  <c r="C49" i="2"/>
  <c r="B49" i="4" s="1"/>
  <c r="C51" i="2"/>
  <c r="B51" i="4" s="1"/>
  <c r="C53" i="2"/>
  <c r="B53" i="4" s="1"/>
  <c r="C55" i="2"/>
  <c r="B55" i="4" s="1"/>
  <c r="C57" i="2"/>
  <c r="B57" i="4" s="1"/>
  <c r="C59" i="2"/>
  <c r="B59" i="4" s="1"/>
  <c r="C61" i="2"/>
  <c r="B61" i="4" s="1"/>
  <c r="C63" i="2"/>
  <c r="B63" i="4" s="1"/>
  <c r="C65" i="2"/>
  <c r="B65" i="4" s="1"/>
  <c r="D3" i="2"/>
  <c r="C3" i="4" s="1"/>
  <c r="D5" i="2"/>
  <c r="C5" i="4" s="1"/>
  <c r="D7" i="2"/>
  <c r="C7" i="4" s="1"/>
  <c r="D9" i="2"/>
  <c r="C9" i="4" s="1"/>
  <c r="D11" i="2"/>
  <c r="C11" i="4" s="1"/>
  <c r="D13" i="2"/>
  <c r="C13" i="4" s="1"/>
  <c r="D15" i="2"/>
  <c r="C15" i="4" s="1"/>
  <c r="D17" i="2"/>
  <c r="C17" i="4" s="1"/>
  <c r="D19" i="2"/>
  <c r="C19" i="4" s="1"/>
  <c r="D21" i="2"/>
  <c r="C21" i="4" s="1"/>
  <c r="D23" i="2"/>
  <c r="C23" i="4" s="1"/>
  <c r="D25" i="2"/>
  <c r="C25" i="4" s="1"/>
  <c r="D27" i="2"/>
  <c r="C27" i="4" s="1"/>
  <c r="D29" i="2"/>
  <c r="C29" i="4" s="1"/>
  <c r="D31" i="2"/>
  <c r="C31" i="4" s="1"/>
  <c r="D33" i="2"/>
  <c r="C33" i="4" s="1"/>
  <c r="D35" i="2"/>
  <c r="C35" i="4" s="1"/>
  <c r="D37" i="2"/>
  <c r="C37" i="4" s="1"/>
  <c r="D39" i="2"/>
  <c r="C39" i="4" s="1"/>
  <c r="D41" i="2"/>
  <c r="C41" i="4" s="1"/>
  <c r="D43" i="2"/>
  <c r="C43" i="4" s="1"/>
  <c r="D45" i="2"/>
  <c r="C45" i="4" s="1"/>
  <c r="D47" i="2"/>
  <c r="C47" i="4" s="1"/>
  <c r="D49" i="2"/>
  <c r="C49" i="4" s="1"/>
  <c r="D51" i="2"/>
  <c r="C51" i="4" s="1"/>
  <c r="D53" i="2"/>
  <c r="C53" i="4" s="1"/>
  <c r="D55" i="2"/>
  <c r="C55" i="4" s="1"/>
  <c r="D57" i="2"/>
  <c r="C57" i="4" s="1"/>
  <c r="D59" i="2"/>
  <c r="C59" i="4" s="1"/>
  <c r="D61" i="2"/>
  <c r="C61" i="4" s="1"/>
  <c r="D63" i="2"/>
  <c r="C63" i="4" s="1"/>
  <c r="D65" i="2"/>
  <c r="C65" i="4" s="1"/>
  <c r="C4" i="2"/>
  <c r="B4" i="4" s="1"/>
  <c r="C6" i="2"/>
  <c r="B6" i="4" s="1"/>
  <c r="C8" i="2"/>
  <c r="B8" i="4" s="1"/>
  <c r="C10" i="2"/>
  <c r="B10" i="4" s="1"/>
  <c r="C12" i="2"/>
  <c r="B12" i="4" s="1"/>
  <c r="C14" i="2"/>
  <c r="B14" i="4" s="1"/>
  <c r="C16" i="2"/>
  <c r="B16" i="4" s="1"/>
  <c r="C18" i="2"/>
  <c r="B18" i="4" s="1"/>
  <c r="C20" i="2"/>
  <c r="B20" i="4" s="1"/>
  <c r="C22" i="2"/>
  <c r="B22" i="4" s="1"/>
  <c r="C24" i="2"/>
  <c r="B24" i="4" s="1"/>
  <c r="C26" i="2"/>
  <c r="B26" i="4" s="1"/>
  <c r="C28" i="2"/>
  <c r="B28" i="4" s="1"/>
  <c r="C32" i="2"/>
  <c r="B32" i="4" s="1"/>
  <c r="C34" i="2"/>
  <c r="B34" i="4" s="1"/>
  <c r="C36" i="2"/>
  <c r="B36" i="4" s="1"/>
  <c r="C38" i="2"/>
  <c r="B38" i="4" s="1"/>
  <c r="C40" i="2"/>
  <c r="B40" i="4" s="1"/>
  <c r="C42" i="2"/>
  <c r="B42" i="4" s="1"/>
  <c r="C44" i="2"/>
  <c r="B44" i="4" s="1"/>
  <c r="C46" i="2"/>
  <c r="B46" i="4" s="1"/>
  <c r="C48" i="2"/>
  <c r="B48" i="4" s="1"/>
  <c r="C50" i="2"/>
  <c r="B50" i="4" s="1"/>
  <c r="C52" i="2"/>
  <c r="B52" i="4" s="1"/>
  <c r="C54" i="2"/>
  <c r="B54" i="4" s="1"/>
  <c r="C56" i="2"/>
  <c r="B56" i="4" s="1"/>
  <c r="C58" i="2"/>
  <c r="B58" i="4" s="1"/>
  <c r="C60" i="2"/>
  <c r="B60" i="4" s="1"/>
  <c r="C62" i="2"/>
  <c r="B62" i="4" s="1"/>
  <c r="C64" i="2"/>
  <c r="B64" i="4" s="1"/>
  <c r="D4" i="2"/>
  <c r="C4" i="4" s="1"/>
  <c r="D6" i="2"/>
  <c r="C6" i="4" s="1"/>
  <c r="D8" i="2"/>
  <c r="C8" i="4" s="1"/>
  <c r="D10" i="2"/>
  <c r="C10" i="4" s="1"/>
  <c r="D12" i="2"/>
  <c r="C12" i="4" s="1"/>
  <c r="D14" i="2"/>
  <c r="C14" i="4" s="1"/>
  <c r="D16" i="2"/>
  <c r="C16" i="4" s="1"/>
  <c r="D18" i="2"/>
  <c r="C18" i="4" s="1"/>
  <c r="D20" i="2"/>
  <c r="C20" i="4" s="1"/>
  <c r="D22" i="2"/>
  <c r="C22" i="4" s="1"/>
  <c r="D24" i="2"/>
  <c r="C24" i="4" s="1"/>
  <c r="D26" i="2"/>
  <c r="C26" i="4" s="1"/>
  <c r="D28" i="2"/>
  <c r="C28" i="4" s="1"/>
  <c r="D30" i="2"/>
  <c r="C30" i="4" s="1"/>
  <c r="D32" i="2"/>
  <c r="C32" i="4" s="1"/>
  <c r="D34" i="2"/>
  <c r="C34" i="4" s="1"/>
  <c r="D36" i="2"/>
  <c r="C36" i="4" s="1"/>
  <c r="D38" i="2"/>
  <c r="C38" i="4" s="1"/>
  <c r="D40" i="2"/>
  <c r="C40" i="4" s="1"/>
  <c r="D42" i="2"/>
  <c r="C42" i="4" s="1"/>
  <c r="D44" i="2"/>
  <c r="C44" i="4" s="1"/>
  <c r="D46" i="2"/>
  <c r="C46" i="4" s="1"/>
  <c r="D48" i="2"/>
  <c r="C48" i="4" s="1"/>
  <c r="D50" i="2"/>
  <c r="C50" i="4" s="1"/>
  <c r="D52" i="2"/>
  <c r="C52" i="4" s="1"/>
  <c r="D54" i="2"/>
  <c r="C54" i="4" s="1"/>
  <c r="D56" i="2"/>
  <c r="C56" i="4" s="1"/>
  <c r="D58" i="2"/>
  <c r="C58" i="4" s="1"/>
  <c r="D60" i="2"/>
  <c r="C60" i="4" s="1"/>
  <c r="D62" i="2"/>
  <c r="C62" i="4" s="1"/>
  <c r="D64" i="2"/>
  <c r="C64" i="4" s="1"/>
  <c r="N14" i="4" l="1"/>
  <c r="P21" i="4" s="1"/>
  <c r="N6" i="4"/>
  <c r="N13" i="4"/>
  <c r="O20" i="4" l="1"/>
  <c r="P20" i="4" s="1"/>
  <c r="Q20" i="4" s="1"/>
  <c r="N15" i="4"/>
  <c r="N16" i="4"/>
  <c r="N8" i="4"/>
  <c r="N10" i="4" s="1"/>
  <c r="N7" i="4"/>
  <c r="N9" i="4" s="1"/>
</calcChain>
</file>

<file path=xl/sharedStrings.xml><?xml version="1.0" encoding="utf-8"?>
<sst xmlns="http://schemas.openxmlformats.org/spreadsheetml/2006/main" count="361" uniqueCount="163">
  <si>
    <t>Argentina</t>
  </si>
  <si>
    <t>Armenia</t>
  </si>
  <si>
    <t>Australia</t>
  </si>
  <si>
    <t>Austria</t>
  </si>
  <si>
    <t>Azerbaijan</t>
  </si>
  <si>
    <t>Belarus</t>
  </si>
  <si>
    <t>Belgium</t>
  </si>
  <si>
    <t>Brazil</t>
  </si>
  <si>
    <t>Bulgaria</t>
  </si>
  <si>
    <t>Burundi</t>
  </si>
  <si>
    <t>Canada</t>
  </si>
  <si>
    <t>Chile</t>
  </si>
  <si>
    <t>Colombia</t>
  </si>
  <si>
    <t>Croatia</t>
  </si>
  <si>
    <t>Cyprus</t>
  </si>
  <si>
    <t>Czech Republic</t>
  </si>
  <si>
    <t>Denmark</t>
  </si>
  <si>
    <t>El Salvador</t>
  </si>
  <si>
    <t>Estonia</t>
  </si>
  <si>
    <t>Ethiopia</t>
  </si>
  <si>
    <t>Finland</t>
  </si>
  <si>
    <t>France</t>
  </si>
  <si>
    <t>Germany</t>
  </si>
  <si>
    <t>Ghana</t>
  </si>
  <si>
    <t>Guatemala</t>
  </si>
  <si>
    <t>Hong Kong SAR, China</t>
  </si>
  <si>
    <t>Hungary</t>
  </si>
  <si>
    <t>India</t>
  </si>
  <si>
    <t>Ireland</t>
  </si>
  <si>
    <t>Israel</t>
  </si>
  <si>
    <t>Italy</t>
  </si>
  <si>
    <t>Japan</t>
  </si>
  <si>
    <t>Kenya</t>
  </si>
  <si>
    <t>Kyrgyz Republic</t>
  </si>
  <si>
    <t>Latvia</t>
  </si>
  <si>
    <t>Macao SAR, China</t>
  </si>
  <si>
    <t>Malaysia</t>
  </si>
  <si>
    <t>Mali</t>
  </si>
  <si>
    <t>Malta</t>
  </si>
  <si>
    <t>Mexico</t>
  </si>
  <si>
    <t>Moldova</t>
  </si>
  <si>
    <t>Mongolia</t>
  </si>
  <si>
    <t>Namibia</t>
  </si>
  <si>
    <t>Nepal</t>
  </si>
  <si>
    <t>Netherlands</t>
  </si>
  <si>
    <t>Norway</t>
  </si>
  <si>
    <t>Poland</t>
  </si>
  <si>
    <t>Portugal</t>
  </si>
  <si>
    <t>Romania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</si>
  <si>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</si>
  <si>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</si>
  <si>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</si>
  <si>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</si>
  <si>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</si>
  <si>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</si>
  <si>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</si>
  <si>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</si>
  <si>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</si>
  <si>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Tajikistan</t>
  </si>
  <si>
    <t>Tanzania</t>
  </si>
  <si>
    <t>Togo</t>
  </si>
  <si>
    <t>Uganda</t>
  </si>
  <si>
    <t>United Kingdom</t>
  </si>
  <si>
    <t>United States</t>
  </si>
  <si>
    <t>Taxa Crescimento (%)</t>
  </si>
  <si>
    <t>Gastos P&amp;D (%)</t>
  </si>
  <si>
    <t>PIB per capita (US$ constantes de 2005)</t>
  </si>
  <si>
    <t>Razão de Dependência de Jovens (%)</t>
  </si>
  <si>
    <t>Gastos com educação (%)</t>
  </si>
  <si>
    <t>País</t>
  </si>
  <si>
    <t>Variável X</t>
  </si>
  <si>
    <t>Variável Y</t>
  </si>
  <si>
    <t>Insira seu RA abaixo</t>
  </si>
  <si>
    <t>RA</t>
  </si>
  <si>
    <r>
      <rPr>
        <b/>
        <sz val="16"/>
        <color theme="1"/>
        <rFont val="Calibri"/>
        <family val="2"/>
        <scheme val="minor"/>
      </rPr>
      <t>Escola Superior de Administração, Marketing e Comunicação (ESAMC)</t>
    </r>
    <r>
      <rPr>
        <b/>
        <sz val="14"/>
        <color theme="1"/>
        <rFont val="Calibri"/>
        <family val="2"/>
        <scheme val="minor"/>
      </rPr>
      <t xml:space="preserve">
10175/A - Econometria   -   1º Sem. de 2021   -   Prof. Pier Francesco De Maria</t>
    </r>
  </si>
  <si>
    <r>
      <rPr>
        <b/>
        <sz val="13"/>
        <color rgb="FFFF0000"/>
        <rFont val="Calibri"/>
        <family val="2"/>
        <scheme val="minor"/>
      </rPr>
      <t>Prova 1 / Parte A</t>
    </r>
    <r>
      <rPr>
        <sz val="13"/>
        <color rgb="FFFF0000"/>
        <rFont val="Calibri"/>
        <family val="2"/>
        <scheme val="minor"/>
      </rPr>
      <t xml:space="preserve"> (Modelo de Regressão Linear Simples)</t>
    </r>
  </si>
  <si>
    <t>Exercícios</t>
  </si>
  <si>
    <t>Variáveis de suporte</t>
  </si>
  <si>
    <t>y</t>
  </si>
  <si>
    <t>x</t>
  </si>
  <si>
    <t>x*y</t>
  </si>
  <si>
    <t>x²</t>
  </si>
  <si>
    <t>y²</t>
  </si>
  <si>
    <t>ê</t>
  </si>
  <si>
    <t>Ŷ</t>
  </si>
  <si>
    <t>Ŷ - Ȳ</t>
  </si>
  <si>
    <t>Hong Kong</t>
  </si>
  <si>
    <t>Macao</t>
  </si>
  <si>
    <r>
      <rPr>
        <b/>
        <sz val="12"/>
        <color theme="1"/>
        <rFont val="Calibri"/>
        <family val="2"/>
        <scheme val="minor"/>
      </rPr>
      <t xml:space="preserve">3) (0.75 pontos) </t>
    </r>
    <r>
      <rPr>
        <sz val="12"/>
        <color theme="1"/>
        <rFont val="Calibri"/>
        <family val="2"/>
        <scheme val="minor"/>
      </rPr>
      <t>Complete a tabela com as variáveis de suporte (exceto as últimas 3 colunas)</t>
    </r>
  </si>
  <si>
    <r>
      <rPr>
        <b/>
        <sz val="12"/>
        <color theme="1"/>
        <rFont val="Calibri"/>
        <family val="2"/>
        <scheme val="minor"/>
      </rPr>
      <t xml:space="preserve">4) (1.00 pontos) </t>
    </r>
    <r>
      <rPr>
        <sz val="12"/>
        <color theme="1"/>
        <rFont val="Calibri"/>
        <family val="2"/>
        <scheme val="minor"/>
      </rPr>
      <t xml:space="preserve">Estime os coeficientes do modelo de regressão </t>
    </r>
    <r>
      <rPr>
        <sz val="12"/>
        <color theme="1"/>
        <rFont val="Calibri"/>
        <family val="2"/>
      </rPr>
      <t>Ŷ = α + βX</t>
    </r>
    <r>
      <rPr>
        <sz val="12"/>
        <color theme="1"/>
        <rFont val="Calibri"/>
        <family val="2"/>
        <scheme val="minor"/>
      </rPr>
      <t xml:space="preserve"> . Interprete o modelo de regressão obtido</t>
    </r>
  </si>
  <si>
    <r>
      <rPr>
        <b/>
        <sz val="12"/>
        <color theme="1"/>
        <rFont val="Calibri"/>
        <family val="2"/>
        <scheme val="minor"/>
      </rPr>
      <t xml:space="preserve">5) (0.50 pontos) </t>
    </r>
    <r>
      <rPr>
        <sz val="12"/>
        <color theme="1"/>
        <rFont val="Calibri"/>
        <family val="2"/>
        <scheme val="minor"/>
      </rPr>
      <t>Complete as últimas 3 colunas da tabela</t>
    </r>
  </si>
  <si>
    <r>
      <rPr>
        <b/>
        <sz val="12"/>
        <color theme="1"/>
        <rFont val="Calibri"/>
        <family val="2"/>
        <scheme val="minor"/>
      </rPr>
      <t xml:space="preserve">6) (0.75 pontos) </t>
    </r>
    <r>
      <rPr>
        <sz val="12"/>
        <color theme="1"/>
        <rFont val="Calibri"/>
        <family val="2"/>
        <scheme val="minor"/>
      </rPr>
      <t>Avalie se os coeficientes obtidos são estatisticamente significativos (ou seja, diferentes de 0)</t>
    </r>
  </si>
  <si>
    <r>
      <rPr>
        <b/>
        <sz val="12"/>
        <color theme="1"/>
        <rFont val="Calibri"/>
        <family val="2"/>
        <scheme val="minor"/>
      </rPr>
      <t xml:space="preserve">7) (0.50 pontos) </t>
    </r>
    <r>
      <rPr>
        <sz val="12"/>
        <color theme="1"/>
        <rFont val="Calibri"/>
        <family val="2"/>
        <scheme val="minor"/>
      </rPr>
      <t xml:space="preserve">Obtenha o intervalo de confiança para os estimadores </t>
    </r>
    <r>
      <rPr>
        <sz val="12"/>
        <color theme="1"/>
        <rFont val="Calibri"/>
        <family val="2"/>
      </rPr>
      <t>α e β</t>
    </r>
  </si>
  <si>
    <r>
      <rPr>
        <b/>
        <sz val="12"/>
        <color theme="1"/>
        <rFont val="Calibri"/>
        <family val="2"/>
        <scheme val="minor"/>
      </rPr>
      <t xml:space="preserve">8) (0.50 pontos) </t>
    </r>
    <r>
      <rPr>
        <sz val="12"/>
        <color theme="1"/>
        <rFont val="Calibri"/>
        <family val="2"/>
        <scheme val="minor"/>
      </rPr>
      <t>Calcule as somas de quadrados e obtenha o coeficiente de determinação. Interprete este valor</t>
    </r>
  </si>
  <si>
    <r>
      <rPr>
        <b/>
        <sz val="12"/>
        <color theme="1"/>
        <rFont val="Calibri"/>
        <family val="2"/>
        <scheme val="minor"/>
      </rPr>
      <t xml:space="preserve">9) (0.50 pontos) </t>
    </r>
    <r>
      <rPr>
        <sz val="12"/>
        <color theme="1"/>
        <rFont val="Calibri"/>
        <family val="2"/>
        <scheme val="minor"/>
      </rPr>
      <t>Monte a tabela ANOVA e identifique se o modelo é estatisticamente válido</t>
    </r>
  </si>
  <si>
    <r>
      <t xml:space="preserve">A pontuação máxima desta prova é </t>
    </r>
    <r>
      <rPr>
        <u/>
        <sz val="12"/>
        <color theme="1"/>
        <rFont val="Calibri"/>
        <family val="2"/>
        <scheme val="minor"/>
      </rPr>
      <t>5.0 (cinco) pontos</t>
    </r>
    <r>
      <rPr>
        <sz val="12"/>
        <color theme="1"/>
        <rFont val="Calibri"/>
        <family val="2"/>
        <scheme val="minor"/>
      </rPr>
      <t xml:space="preserve">. À nota desta prova será somada a nota da Parte 2, compondo a nota da P1.
Você recebeu as duas variáveis ao lado para criar um modelo de regressão linear simples (RLS). Faça o que é pedido, </t>
    </r>
    <r>
      <rPr>
        <u/>
        <sz val="12"/>
        <color theme="1"/>
        <rFont val="Calibri"/>
        <family val="2"/>
        <scheme val="minor"/>
      </rPr>
      <t>na ordem indicada</t>
    </r>
    <r>
      <rPr>
        <sz val="12"/>
        <color theme="1"/>
        <rFont val="Calibri"/>
        <family val="2"/>
        <scheme val="minor"/>
      </rPr>
      <t xml:space="preserve">, por meio de fórmulas. </t>
    </r>
    <r>
      <rPr>
        <b/>
        <u/>
        <sz val="12"/>
        <color theme="1"/>
        <rFont val="Calibri"/>
        <family val="2"/>
        <scheme val="minor"/>
      </rPr>
      <t>NÃO use</t>
    </r>
    <r>
      <rPr>
        <sz val="12"/>
        <color theme="1"/>
        <rFont val="Calibri"/>
        <family val="2"/>
        <scheme val="minor"/>
      </rPr>
      <t xml:space="preserve"> o método rápido ("Análise de Dados") para apresentar as respostas, pois estas não serão consideradas para avaliação. Use a aba "Planilha Suporte" para fazer as contas necessárias (você não tem como adicionar/eliminar abas). </t>
    </r>
    <r>
      <rPr>
        <u/>
        <sz val="12"/>
        <color theme="1"/>
        <rFont val="Calibri"/>
        <family val="2"/>
        <scheme val="minor"/>
      </rPr>
      <t>Deixe todas as fórmulas</t>
    </r>
    <r>
      <rPr>
        <sz val="12"/>
        <color theme="1"/>
        <rFont val="Calibri"/>
        <family val="2"/>
        <scheme val="minor"/>
      </rPr>
      <t xml:space="preserve">!
Você terá 24h para fazer esta prova: das 21h00 de 19/03 até as 20h59 de 20/03. Ao terminar a sua prova, </t>
    </r>
    <r>
      <rPr>
        <b/>
        <u/>
        <sz val="12"/>
        <color theme="1"/>
        <rFont val="Calibri"/>
        <family val="2"/>
        <scheme val="minor"/>
      </rPr>
      <t>SALVE O ARQUIVO E ENVIE PARA O E-MAIL</t>
    </r>
    <r>
      <rPr>
        <sz val="12"/>
        <color theme="1"/>
        <rFont val="Calibri"/>
        <family val="2"/>
        <scheme val="minor"/>
      </rPr>
      <t xml:space="preserve"> pier.francesco@esamc.br!</t>
    </r>
  </si>
  <si>
    <r>
      <rPr>
        <b/>
        <sz val="12"/>
        <color theme="1"/>
        <rFont val="Calibri"/>
        <family val="2"/>
        <scheme val="minor"/>
      </rPr>
      <t xml:space="preserve">1) (0.25 pontos) </t>
    </r>
    <r>
      <rPr>
        <sz val="12"/>
        <color theme="1"/>
        <rFont val="Calibri"/>
        <family val="2"/>
        <scheme val="minor"/>
      </rPr>
      <t>Plote um gráfico de dispersão. Atente-se para qual delas ficará em cada eixo! Interprete o gráfico</t>
    </r>
  </si>
  <si>
    <r>
      <rPr>
        <b/>
        <sz val="12"/>
        <color theme="1"/>
        <rFont val="Calibri"/>
        <family val="2"/>
        <scheme val="minor"/>
      </rPr>
      <t xml:space="preserve">2) (0.25 pontos) </t>
    </r>
    <r>
      <rPr>
        <sz val="12"/>
        <color theme="1"/>
        <rFont val="Calibri"/>
        <family val="2"/>
        <scheme val="minor"/>
      </rPr>
      <t>Construa um boxplot para cada variável. O que você observa para cada uma das variáveis? Descreva</t>
    </r>
  </si>
  <si>
    <t>Média de Y</t>
  </si>
  <si>
    <t>Média de X</t>
  </si>
  <si>
    <t>Alfa</t>
  </si>
  <si>
    <t>Beta</t>
  </si>
  <si>
    <t>Mínimo</t>
  </si>
  <si>
    <t>1º Quartil</t>
  </si>
  <si>
    <t>Mediana</t>
  </si>
  <si>
    <t>3º Quartil</t>
  </si>
  <si>
    <t>Máximo</t>
  </si>
  <si>
    <t>Média</t>
  </si>
  <si>
    <t>Boxplot Y</t>
  </si>
  <si>
    <t>Não mexer nisso</t>
  </si>
  <si>
    <t>LI</t>
  </si>
  <si>
    <t>A</t>
  </si>
  <si>
    <t>B-A</t>
  </si>
  <si>
    <t>C-B</t>
  </si>
  <si>
    <t>D-C</t>
  </si>
  <si>
    <t>E-D</t>
  </si>
  <si>
    <t>LS</t>
  </si>
  <si>
    <t>Boxplot X</t>
  </si>
  <si>
    <t>Y</t>
  </si>
  <si>
    <t>X</t>
  </si>
  <si>
    <t>Correlação</t>
  </si>
  <si>
    <t>S² (Alfa)</t>
  </si>
  <si>
    <t>S² (Beta)</t>
  </si>
  <si>
    <t>t(alfa)</t>
  </si>
  <si>
    <t>t(beta)</t>
  </si>
  <si>
    <t>Y^ = alfa - beta . X</t>
  </si>
  <si>
    <t>Resposta da 4ª questão:</t>
  </si>
  <si>
    <t xml:space="preserve">Modelo de regressão </t>
  </si>
  <si>
    <t xml:space="preserve">Gastos com educação </t>
  </si>
  <si>
    <t>Pip per capita</t>
  </si>
  <si>
    <t>Podemos realizar uma estimativa de que a cada aumento de 10 p.p investidos em educação há um aumento de $15,72 no Pip per capita.</t>
  </si>
  <si>
    <t xml:space="preserve">Resposta 1ª questão : </t>
  </si>
  <si>
    <t>Se o valor de X for 0, o valor de Y estimado será ALFA</t>
  </si>
  <si>
    <t xml:space="preserve">beta </t>
  </si>
  <si>
    <t>Se o valor de X aumentar 1 p.p, o valor estimado de Y mudará Beta unidades</t>
  </si>
  <si>
    <t>Sigma^</t>
  </si>
  <si>
    <t>Resposta da 6ª questão:</t>
  </si>
  <si>
    <t>t(crítico)</t>
  </si>
  <si>
    <r>
      <t xml:space="preserve">De acordo com os resultados obtidos das variâncias e com o teste de hipótese de alfa e beta, podemos concluir que devemos </t>
    </r>
    <r>
      <rPr>
        <i/>
        <u/>
        <sz val="11"/>
        <color theme="1"/>
        <rFont val="Century Gothic"/>
        <family val="2"/>
      </rPr>
      <t>rejeitar a hipótese nula.</t>
    </r>
  </si>
  <si>
    <t>Portanto alfa e beta são diferentes de zero.</t>
  </si>
  <si>
    <t>SQT</t>
  </si>
  <si>
    <t>SQReg</t>
  </si>
  <si>
    <t>SQRes</t>
  </si>
  <si>
    <t>Prova real SQT</t>
  </si>
  <si>
    <t>R²</t>
  </si>
  <si>
    <t>FONTE</t>
  </si>
  <si>
    <t>Regressão</t>
  </si>
  <si>
    <t>Resíduos</t>
  </si>
  <si>
    <t>Total</t>
  </si>
  <si>
    <t>GL</t>
  </si>
  <si>
    <t>SQ</t>
  </si>
  <si>
    <t>QM</t>
  </si>
  <si>
    <t>F</t>
  </si>
  <si>
    <t>Tabela ANOVA (analysis of variance)</t>
  </si>
  <si>
    <t>F (crit)</t>
  </si>
  <si>
    <t xml:space="preserve">Resposta 2ª questão : </t>
  </si>
  <si>
    <t>Resposta da 9ª questão :</t>
  </si>
  <si>
    <t>Resposta da 8ª questão:</t>
  </si>
  <si>
    <t>De acordo com os resultados obtidos pela soma dos quadrados temos que R² = 0,1142. Ou seja, 11% da variável gastos  em educação(Y) é explicada pela variável pip percapita(X).</t>
  </si>
  <si>
    <t>Podemos concluir de acordo com o gráfico que a variável X segue a linha de teendência em relação à variável Y, ou seja, existe uma correlação entre essas duas variáveis. Quanto maior gastos em educação, maior valor do pip per capita do país analisado.</t>
  </si>
  <si>
    <t>A partir do gráfico boxplot, podemos extrair as seguintes informações do banco de dados analisado :</t>
  </si>
  <si>
    <t>Gastos com educação = alfa - beta . Pib per capita</t>
  </si>
  <si>
    <t xml:space="preserve">Podemos concluir à partir da análise da comparação dos parâmetros de F em relação a Fcrítico, que o modelo de regrassão contribui para a interpretação das variáveis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</si>
</sst>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,##0.0000000"/>
    <numFmt numFmtId="165" formatCode="#,##0.00000"/>
    <numFmt numFmtId="166" formatCode="#,##0.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1"/>
      <color theme="1"/>
      <name val="Century Gothic"/>
      <family val="2"/>
    </font>
    <font>
      <b/>
      <sz val="12"/>
      <color theme="1"/>
      <name val="Century Gothic"/>
      <family val="2"/>
    </font>
    <font>
      <i/>
      <u/>
      <sz val="11"/>
      <color theme="1"/>
      <name val="Century Gothic"/>
      <family val="2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43" fontId="3" fillId="0" borderId="1" xfId="1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left" vertical="center"/>
    </xf>
    <xf numFmtId="4" fontId="6" fillId="0" borderId="3" xfId="0" applyNumberFormat="1" applyFont="1" applyBorder="1" applyAlignment="1" applyProtection="1">
      <alignment horizontal="center" vertical="center"/>
      <protection locked="0" hidden="1"/>
    </xf>
    <xf numFmtId="4" fontId="6" fillId="0" borderId="7" xfId="0" applyNumberFormat="1" applyFont="1" applyBorder="1" applyAlignment="1" applyProtection="1">
      <alignment horizontal="center" vertical="center"/>
      <protection locked="0" hidden="1"/>
    </xf>
    <xf numFmtId="4" fontId="6" fillId="0" borderId="5" xfId="0" applyNumberFormat="1" applyFont="1" applyBorder="1" applyAlignment="1" applyProtection="1">
      <alignment horizontal="center" vertical="center"/>
      <protection locked="0" hidden="1"/>
    </xf>
    <xf numFmtId="0" fontId="5" fillId="0" borderId="5" xfId="0" applyFont="1" applyBorder="1" applyAlignment="1" applyProtection="1">
      <alignment horizontal="center" vertical="center" wrapText="1"/>
      <protection locked="0" hidden="1"/>
    </xf>
    <xf numFmtId="0" fontId="5" fillId="0" borderId="16" xfId="0" applyFont="1" applyBorder="1" applyAlignment="1" applyProtection="1">
      <alignment horizontal="center" vertical="center" wrapText="1"/>
      <protection locked="0" hidden="1"/>
    </xf>
    <xf numFmtId="4" fontId="6" fillId="0" borderId="15" xfId="0" applyNumberFormat="1" applyFont="1" applyBorder="1" applyAlignment="1" applyProtection="1">
      <alignment horizontal="center" vertical="center"/>
      <protection locked="0" hidden="1"/>
    </xf>
    <xf numFmtId="4" fontId="6" fillId="0" borderId="2" xfId="0" applyNumberFormat="1" applyFont="1" applyBorder="1" applyAlignment="1" applyProtection="1">
      <alignment horizontal="center" vertical="center"/>
      <protection locked="0" hidden="1"/>
    </xf>
    <xf numFmtId="4" fontId="6" fillId="0" borderId="16" xfId="0" applyNumberFormat="1" applyFont="1" applyBorder="1" applyAlignment="1" applyProtection="1">
      <alignment horizontal="center" vertical="center"/>
      <protection locked="0" hidden="1"/>
    </xf>
    <xf numFmtId="4" fontId="6" fillId="0" borderId="3" xfId="0" applyNumberFormat="1" applyFont="1" applyBorder="1" applyAlignment="1" applyProtection="1">
      <alignment horizontal="center" vertical="center"/>
      <protection locked="0"/>
    </xf>
    <xf numFmtId="4" fontId="6" fillId="0" borderId="17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 hidden="1"/>
    </xf>
    <xf numFmtId="0" fontId="5" fillId="0" borderId="15" xfId="0" applyFont="1" applyBorder="1" applyAlignment="1" applyProtection="1">
      <alignment horizontal="center" vertical="center"/>
      <protection locked="0" hidden="1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 hidden="1"/>
    </xf>
    <xf numFmtId="0" fontId="5" fillId="0" borderId="10" xfId="0" applyFont="1" applyBorder="1" applyAlignment="1" applyProtection="1">
      <alignment horizontal="center" vertical="center"/>
      <protection locked="0" hidden="1"/>
    </xf>
    <xf numFmtId="0" fontId="5" fillId="0" borderId="11" xfId="0" applyFont="1" applyBorder="1" applyAlignment="1" applyProtection="1">
      <alignment horizontal="center" vertical="center"/>
      <protection locked="0"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4" fontId="6" fillId="0" borderId="3" xfId="0" applyNumberFormat="1" applyFont="1" applyBorder="1" applyAlignment="1" applyProtection="1">
      <alignment horizontal="center" vertical="center"/>
      <protection hidden="1"/>
    </xf>
    <xf numFmtId="4" fontId="6" fillId="0" borderId="4" xfId="0" applyNumberFormat="1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4" fontId="6" fillId="0" borderId="7" xfId="0" applyNumberFormat="1" applyFont="1" applyBorder="1" applyAlignment="1" applyProtection="1">
      <alignment horizontal="center" vertical="center"/>
      <protection hidden="1"/>
    </xf>
    <xf numFmtId="4" fontId="6" fillId="0" borderId="8" xfId="0" applyNumberFormat="1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5" fillId="0" borderId="11" xfId="0" applyFont="1" applyBorder="1" applyAlignment="1" applyProtection="1">
      <alignment horizontal="center" vertical="center"/>
      <protection hidden="1"/>
    </xf>
    <xf numFmtId="4" fontId="6" fillId="0" borderId="5" xfId="0" applyNumberFormat="1" applyFont="1" applyBorder="1" applyAlignment="1" applyProtection="1">
      <alignment horizontal="center" vertical="center"/>
      <protection hidden="1"/>
    </xf>
    <xf numFmtId="4" fontId="6" fillId="0" borderId="6" xfId="0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0" fillId="0" borderId="0" xfId="0" applyBorder="1"/>
    <xf numFmtId="4" fontId="6" fillId="0" borderId="17" xfId="0" applyNumberFormat="1" applyFont="1" applyBorder="1" applyAlignment="1" applyProtection="1">
      <alignment horizontal="center" vertical="center"/>
    </xf>
    <xf numFmtId="4" fontId="6" fillId="0" borderId="4" xfId="0" applyNumberFormat="1" applyFont="1" applyBorder="1" applyAlignment="1" applyProtection="1">
      <alignment horizontal="center" vertical="center"/>
    </xf>
    <xf numFmtId="0" fontId="4" fillId="3" borderId="0" xfId="2" applyFont="1" applyFill="1" applyAlignment="1">
      <alignment horizontal="left" vertical="center"/>
    </xf>
    <xf numFmtId="2" fontId="3" fillId="4" borderId="0" xfId="2" applyNumberFormat="1" applyFont="1" applyFill="1" applyAlignment="1">
      <alignment horizontal="center" vertical="center"/>
    </xf>
    <xf numFmtId="0" fontId="16" fillId="3" borderId="0" xfId="2" applyFont="1" applyFill="1" applyAlignment="1">
      <alignment horizontal="center" vertical="center"/>
    </xf>
    <xf numFmtId="2" fontId="15" fillId="3" borderId="0" xfId="2" applyNumberFormat="1" applyFont="1" applyFill="1" applyAlignment="1">
      <alignment horizontal="center" vertical="center"/>
    </xf>
    <xf numFmtId="0" fontId="15" fillId="3" borderId="0" xfId="2" applyFont="1" applyFill="1" applyAlignment="1">
      <alignment vertical="center"/>
    </xf>
    <xf numFmtId="0" fontId="15" fillId="3" borderId="0" xfId="2" applyFont="1" applyFill="1" applyAlignment="1">
      <alignment horizontal="center" vertical="center"/>
    </xf>
    <xf numFmtId="0" fontId="5" fillId="5" borderId="24" xfId="0" applyFont="1" applyFill="1" applyBorder="1" applyAlignment="1" applyProtection="1">
      <alignment horizontal="left" vertical="center"/>
      <protection locked="0"/>
    </xf>
    <xf numFmtId="0" fontId="5" fillId="6" borderId="24" xfId="0" applyFont="1" applyFill="1" applyBorder="1" applyAlignment="1" applyProtection="1">
      <alignment horizontal="left" vertical="center"/>
      <protection locked="0"/>
    </xf>
    <xf numFmtId="164" fontId="0" fillId="6" borderId="24" xfId="0" applyNumberFormat="1" applyFont="1" applyFill="1" applyBorder="1"/>
    <xf numFmtId="164" fontId="0" fillId="5" borderId="24" xfId="0" applyNumberFormat="1" applyFont="1" applyFill="1" applyBorder="1"/>
    <xf numFmtId="0" fontId="5" fillId="0" borderId="0" xfId="0" applyFont="1"/>
    <xf numFmtId="0" fontId="17" fillId="0" borderId="0" xfId="0" applyFont="1"/>
    <xf numFmtId="0" fontId="17" fillId="0" borderId="0" xfId="0" applyFont="1" applyAlignment="1">
      <alignment horizontal="left" wrapText="1"/>
    </xf>
    <xf numFmtId="0" fontId="18" fillId="0" borderId="0" xfId="0" applyFont="1"/>
    <xf numFmtId="1" fontId="17" fillId="0" borderId="0" xfId="1" applyNumberFormat="1" applyFont="1"/>
    <xf numFmtId="0" fontId="0" fillId="0" borderId="0" xfId="0" applyAlignment="1">
      <alignment horizontal="center"/>
    </xf>
    <xf numFmtId="164" fontId="17" fillId="0" borderId="0" xfId="0" applyNumberFormat="1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165" fontId="0" fillId="5" borderId="24" xfId="0" applyNumberFormat="1" applyFont="1" applyFill="1" applyBorder="1"/>
    <xf numFmtId="4" fontId="0" fillId="5" borderId="24" xfId="0" applyNumberFormat="1" applyFont="1" applyFill="1" applyBorder="1"/>
    <xf numFmtId="0" fontId="0" fillId="0" borderId="24" xfId="0" applyBorder="1" applyAlignment="1">
      <alignment horizontal="center" vertical="center"/>
    </xf>
    <xf numFmtId="0" fontId="5" fillId="7" borderId="24" xfId="0" applyFont="1" applyFill="1" applyBorder="1" applyAlignment="1" applyProtection="1">
      <alignment horizontal="left" vertical="center"/>
      <protection locked="0"/>
    </xf>
    <xf numFmtId="0" fontId="2" fillId="7" borderId="24" xfId="0" applyFont="1" applyFill="1" applyBorder="1" applyAlignment="1">
      <alignment horizontal="center" vertical="center"/>
    </xf>
    <xf numFmtId="0" fontId="20" fillId="0" borderId="0" xfId="0" applyFont="1" applyFill="1" applyBorder="1" applyAlignment="1" applyProtection="1">
      <alignment horizontal="left" vertical="center"/>
      <protection locked="0"/>
    </xf>
    <xf numFmtId="3" fontId="0" fillId="0" borderId="24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20" fillId="0" borderId="0" xfId="0" applyFont="1" applyFill="1" applyBorder="1" applyAlignment="1" applyProtection="1">
      <alignment vertical="center" wrapText="1"/>
      <protection locked="0"/>
    </xf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1" fillId="0" borderId="0" xfId="0" applyFont="1" applyBorder="1" applyAlignment="1">
      <alignment horizontal="left"/>
    </xf>
    <xf numFmtId="166" fontId="0" fillId="5" borderId="24" xfId="0" applyNumberFormat="1" applyFont="1" applyFill="1" applyBorder="1"/>
    <xf numFmtId="0" fontId="6" fillId="0" borderId="14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0" fontId="6" fillId="2" borderId="14" xfId="0" applyFont="1" applyFill="1" applyBorder="1" applyAlignment="1" applyProtection="1">
      <alignment horizontal="center" vertical="center"/>
      <protection locked="0" hidden="1"/>
    </xf>
    <xf numFmtId="0" fontId="6" fillId="2" borderId="0" xfId="0" applyFont="1" applyFill="1" applyBorder="1" applyAlignment="1" applyProtection="1">
      <alignment horizontal="center" vertical="center"/>
      <protection locked="0" hidden="1"/>
    </xf>
    <xf numFmtId="0" fontId="6" fillId="2" borderId="22" xfId="0" applyFont="1" applyFill="1" applyBorder="1" applyAlignment="1" applyProtection="1">
      <alignment horizontal="center" vertical="center"/>
      <protection locked="0" hidden="1"/>
    </xf>
    <xf numFmtId="0" fontId="6" fillId="2" borderId="13" xfId="0" applyFont="1" applyFill="1" applyBorder="1" applyAlignment="1" applyProtection="1">
      <alignment horizontal="center" vertical="center"/>
      <protection locked="0" hidden="1"/>
    </xf>
    <xf numFmtId="0" fontId="5" fillId="0" borderId="21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8" fillId="0" borderId="20" xfId="0" applyFont="1" applyBorder="1" applyAlignment="1" applyProtection="1">
      <alignment horizontal="center" vertical="center" wrapText="1"/>
      <protection hidden="1"/>
    </xf>
    <xf numFmtId="0" fontId="8" fillId="0" borderId="21" xfId="0" applyFont="1" applyBorder="1" applyAlignment="1" applyProtection="1">
      <alignment horizontal="center" vertical="center" wrapText="1"/>
      <protection hidden="1"/>
    </xf>
    <xf numFmtId="0" fontId="8" fillId="0" borderId="0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10" fillId="0" borderId="13" xfId="0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 vertical="center" wrapText="1"/>
      <protection hidden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top" wrapText="1"/>
    </xf>
    <xf numFmtId="0" fontId="5" fillId="0" borderId="12" xfId="0" applyFont="1" applyBorder="1" applyAlignment="1" applyProtection="1">
      <alignment horizontal="center" vertical="center"/>
      <protection locked="0" hidden="1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7" borderId="25" xfId="0" applyFont="1" applyFill="1" applyBorder="1" applyAlignment="1" applyProtection="1">
      <alignment horizontal="center" vertical="center"/>
      <protection locked="0"/>
    </xf>
    <xf numFmtId="0" fontId="5" fillId="7" borderId="26" xfId="0" applyFont="1" applyFill="1" applyBorder="1" applyAlignment="1" applyProtection="1">
      <alignment horizontal="center" vertical="center"/>
      <protection locked="0"/>
    </xf>
    <xf numFmtId="0" fontId="5" fillId="7" borderId="27" xfId="0" applyFont="1" applyFill="1" applyBorder="1" applyAlignment="1" applyProtection="1">
      <alignment horizontal="center" vertical="center"/>
      <protection locked="0"/>
    </xf>
    <xf numFmtId="9" fontId="0" fillId="6" borderId="24" xfId="3" applyFont="1" applyFill="1" applyBorder="1"/>
  </cellXfs>
  <cellStyles count="4">
    <cellStyle name="Normal" xfId="0" builtinId="0"/>
    <cellStyle name="Normal 2" xfId="2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dispersão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'Planilha Suporte'!$A$1:$A$2</c:f>
              <c:strCache>
                <c:ptCount val="2"/>
                <c:pt idx="0">
                  <c:v>País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082312948710775E-2"/>
                  <c:y val="-0.233772463472003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0,042x + 12,74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0,0311</a:t>
                    </a:r>
                    <a:endParaRPr lang="en-US" sz="10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'Planilha Suporte'!$C$3:$C$66</c:f>
              <c:numCache>
                <c:formatCode>#,##0.00</c:formatCode>
                <c:ptCount val="64"/>
                <c:pt idx="0">
                  <c:v>7293.6581885569003</c:v>
                </c:pt>
                <c:pt idx="1">
                  <c:v>1997.0522610194116</c:v>
                </c:pt>
                <c:pt idx="2">
                  <c:v>36175.112506598285</c:v>
                </c:pt>
                <c:pt idx="3">
                  <c:v>40099.966160417134</c:v>
                </c:pt>
                <c:pt idx="4">
                  <c:v>3126.7240403803503</c:v>
                </c:pt>
                <c:pt idx="5">
                  <c:v>4524.1581679110777</c:v>
                </c:pt>
                <c:pt idx="6">
                  <c:v>37745.501703613969</c:v>
                </c:pt>
                <c:pt idx="7">
                  <c:v>5678.2860346340567</c:v>
                </c:pt>
                <c:pt idx="8">
                  <c:v>4559.6954470031878</c:v>
                </c:pt>
                <c:pt idx="9">
                  <c:v>150.74274826347758</c:v>
                </c:pt>
                <c:pt idx="10">
                  <c:v>36465.710863547902</c:v>
                </c:pt>
                <c:pt idx="11">
                  <c:v>8609.2679088412897</c:v>
                </c:pt>
                <c:pt idx="12">
                  <c:v>3939.1069947754286</c:v>
                </c:pt>
                <c:pt idx="13">
                  <c:v>10523.915406034161</c:v>
                </c:pt>
                <c:pt idx="14">
                  <c:v>24852.373674759499</c:v>
                </c:pt>
                <c:pt idx="15">
                  <c:v>14640.343169543186</c:v>
                </c:pt>
                <c:pt idx="16">
                  <c:v>47791.919518481714</c:v>
                </c:pt>
                <c:pt idx="17">
                  <c:v>2949.6137287227111</c:v>
                </c:pt>
                <c:pt idx="18">
                  <c:v>10364.464126272213</c:v>
                </c:pt>
                <c:pt idx="19">
                  <c:v>238.63182187645808</c:v>
                </c:pt>
                <c:pt idx="20">
                  <c:v>39698.80530542905</c:v>
                </c:pt>
                <c:pt idx="21">
                  <c:v>35216.499562716868</c:v>
                </c:pt>
                <c:pt idx="22">
                  <c:v>37147.022169488737</c:v>
                </c:pt>
                <c:pt idx="23">
                  <c:v>606.38421894599378</c:v>
                </c:pt>
                <c:pt idx="24">
                  <c:v>2270.0982681651722</c:v>
                </c:pt>
                <c:pt idx="25">
                  <c:v>31328.375193366537</c:v>
                </c:pt>
                <c:pt idx="26">
                  <c:v>11108.89983126476</c:v>
                </c:pt>
                <c:pt idx="27">
                  <c:v>1031.5611346494393</c:v>
                </c:pt>
                <c:pt idx="28">
                  <c:v>46425.614155186842</c:v>
                </c:pt>
                <c:pt idx="29">
                  <c:v>23225.415578371503</c:v>
                </c:pt>
                <c:pt idx="30">
                  <c:v>30788.538604195335</c:v>
                </c:pt>
                <c:pt idx="31">
                  <c:v>36296.315398505394</c:v>
                </c:pt>
                <c:pt idx="32">
                  <c:v>584.9117306765213</c:v>
                </c:pt>
                <c:pt idx="33">
                  <c:v>560.99913794067618</c:v>
                </c:pt>
                <c:pt idx="34">
                  <c:v>8058.7935491835151</c:v>
                </c:pt>
                <c:pt idx="35">
                  <c:v>38689.017214191299</c:v>
                </c:pt>
                <c:pt idx="36">
                  <c:v>6319.003648503648</c:v>
                </c:pt>
                <c:pt idx="37">
                  <c:v>498.47514814438102</c:v>
                </c:pt>
                <c:pt idx="38">
                  <c:v>16227.712111667724</c:v>
                </c:pt>
                <c:pt idx="39">
                  <c:v>8084.6290001796442</c:v>
                </c:pt>
                <c:pt idx="40">
                  <c:v>983.1659406832938</c:v>
                </c:pt>
                <c:pt idx="41">
                  <c:v>1273.2104024846064</c:v>
                </c:pt>
                <c:pt idx="42">
                  <c:v>4149.9056475064735</c:v>
                </c:pt>
                <c:pt idx="43">
                  <c:v>376.34220962776061</c:v>
                </c:pt>
                <c:pt idx="44">
                  <c:v>43676.329041344754</c:v>
                </c:pt>
                <c:pt idx="45">
                  <c:v>66117.006972817806</c:v>
                </c:pt>
                <c:pt idx="46">
                  <c:v>10066.293397443815</c:v>
                </c:pt>
                <c:pt idx="47">
                  <c:v>19240.681780251747</c:v>
                </c:pt>
                <c:pt idx="48">
                  <c:v>5634.8940223347727</c:v>
                </c:pt>
                <c:pt idx="49">
                  <c:v>800.43110309938504</c:v>
                </c:pt>
                <c:pt idx="50">
                  <c:v>4106.5704446375339</c:v>
                </c:pt>
                <c:pt idx="51">
                  <c:v>34758.404334915271</c:v>
                </c:pt>
                <c:pt idx="52">
                  <c:v>14582.836060850364</c:v>
                </c:pt>
                <c:pt idx="53">
                  <c:v>19327.423693832985</c:v>
                </c:pt>
                <c:pt idx="54">
                  <c:v>5910.668523021287</c:v>
                </c:pt>
                <c:pt idx="55">
                  <c:v>26191.985807810932</c:v>
                </c:pt>
                <c:pt idx="56">
                  <c:v>1610.1160513802852</c:v>
                </c:pt>
                <c:pt idx="57">
                  <c:v>44877.910174216042</c:v>
                </c:pt>
                <c:pt idx="58">
                  <c:v>417.11051385520199</c:v>
                </c:pt>
                <c:pt idx="59">
                  <c:v>520.69181227892</c:v>
                </c:pt>
                <c:pt idx="60">
                  <c:v>392.85505648182601</c:v>
                </c:pt>
                <c:pt idx="61">
                  <c:v>390.58213659556606</c:v>
                </c:pt>
                <c:pt idx="62">
                  <c:v>39471.731251428864</c:v>
                </c:pt>
                <c:pt idx="63">
                  <c:v>43961.168507253649</c:v>
                </c:pt>
              </c:numCache>
            </c:numRef>
          </c:xVal>
          <c:yVal>
            <c:numRef>
              <c:f>'Planilha Suporte'!$B$3:$B$66</c:f>
              <c:numCache>
                <c:formatCode>#,##0.00</c:formatCode>
                <c:ptCount val="64"/>
                <c:pt idx="0">
                  <c:v>15.570460000000001</c:v>
                </c:pt>
                <c:pt idx="1">
                  <c:v>12.400510000000001</c:v>
                </c:pt>
                <c:pt idx="2">
                  <c:v>14.3276</c:v>
                </c:pt>
                <c:pt idx="3">
                  <c:v>10.858169999999999</c:v>
                </c:pt>
                <c:pt idx="4">
                  <c:v>8.7791099999999993</c:v>
                </c:pt>
                <c:pt idx="5">
                  <c:v>12.86463</c:v>
                </c:pt>
                <c:pt idx="6">
                  <c:v>12.223739999999999</c:v>
                </c:pt>
                <c:pt idx="7">
                  <c:v>14.559889999999999</c:v>
                </c:pt>
                <c:pt idx="8">
                  <c:v>11.16342</c:v>
                </c:pt>
                <c:pt idx="9">
                  <c:v>16.588100000000001</c:v>
                </c:pt>
                <c:pt idx="10">
                  <c:v>12.387890000000001</c:v>
                </c:pt>
                <c:pt idx="11">
                  <c:v>17.514019999999999</c:v>
                </c:pt>
                <c:pt idx="12">
                  <c:v>16.418579999999999</c:v>
                </c:pt>
                <c:pt idx="13">
                  <c:v>9.0825899999999997</c:v>
                </c:pt>
                <c:pt idx="14">
                  <c:v>15.68234</c:v>
                </c:pt>
                <c:pt idx="15">
                  <c:v>9.7125000000000004</c:v>
                </c:pt>
                <c:pt idx="16">
                  <c:v>15.103339999999999</c:v>
                </c:pt>
                <c:pt idx="17">
                  <c:v>16.16422</c:v>
                </c:pt>
                <c:pt idx="18">
                  <c:v>13.681800000000001</c:v>
                </c:pt>
                <c:pt idx="19">
                  <c:v>22.035820000000001</c:v>
                </c:pt>
                <c:pt idx="20">
                  <c:v>11.956110000000001</c:v>
                </c:pt>
                <c:pt idx="21">
                  <c:v>10.069129999999999</c:v>
                </c:pt>
                <c:pt idx="22">
                  <c:v>10.616580000000001</c:v>
                </c:pt>
                <c:pt idx="23">
                  <c:v>21.244219999999999</c:v>
                </c:pt>
                <c:pt idx="24">
                  <c:v>19.29692</c:v>
                </c:pt>
                <c:pt idx="25">
                  <c:v>19.909549999999999</c:v>
                </c:pt>
                <c:pt idx="26">
                  <c:v>9.6849799999999995</c:v>
                </c:pt>
                <c:pt idx="27">
                  <c:v>11.74278</c:v>
                </c:pt>
                <c:pt idx="28">
                  <c:v>9.2955100000000002</c:v>
                </c:pt>
                <c:pt idx="29">
                  <c:v>13.259320000000001</c:v>
                </c:pt>
                <c:pt idx="30">
                  <c:v>8.7239500000000003</c:v>
                </c:pt>
                <c:pt idx="31">
                  <c:v>9.4575800000000001</c:v>
                </c:pt>
                <c:pt idx="32">
                  <c:v>20.555990000000001</c:v>
                </c:pt>
                <c:pt idx="33">
                  <c:v>15.684760000000001</c:v>
                </c:pt>
                <c:pt idx="34">
                  <c:v>8.1226400000000005</c:v>
                </c:pt>
                <c:pt idx="35">
                  <c:v>15.67268</c:v>
                </c:pt>
                <c:pt idx="36">
                  <c:v>18.406230000000001</c:v>
                </c:pt>
                <c:pt idx="37">
                  <c:v>16.503910000000001</c:v>
                </c:pt>
                <c:pt idx="38">
                  <c:v>15.73082</c:v>
                </c:pt>
                <c:pt idx="39">
                  <c:v>19.319980000000001</c:v>
                </c:pt>
                <c:pt idx="40">
                  <c:v>22.336099999999998</c:v>
                </c:pt>
                <c:pt idx="41">
                  <c:v>14.71114</c:v>
                </c:pt>
                <c:pt idx="42">
                  <c:v>26.193249999999999</c:v>
                </c:pt>
                <c:pt idx="43">
                  <c:v>20.81352</c:v>
                </c:pt>
                <c:pt idx="44">
                  <c:v>11.52436</c:v>
                </c:pt>
                <c:pt idx="45">
                  <c:v>15.30602</c:v>
                </c:pt>
                <c:pt idx="46">
                  <c:v>11.108919999999999</c:v>
                </c:pt>
                <c:pt idx="47">
                  <c:v>10.42656</c:v>
                </c:pt>
                <c:pt idx="48">
                  <c:v>9.12913</c:v>
                </c:pt>
                <c:pt idx="49">
                  <c:v>20.723179999999999</c:v>
                </c:pt>
                <c:pt idx="50">
                  <c:v>10.51355</c:v>
                </c:pt>
                <c:pt idx="51">
                  <c:v>16.55659</c:v>
                </c:pt>
                <c:pt idx="52">
                  <c:v>9.8575300000000006</c:v>
                </c:pt>
                <c:pt idx="53">
                  <c:v>12.08019</c:v>
                </c:pt>
                <c:pt idx="54">
                  <c:v>18.044370000000001</c:v>
                </c:pt>
                <c:pt idx="55">
                  <c:v>10.563980000000001</c:v>
                </c:pt>
                <c:pt idx="56">
                  <c:v>8.6056600000000003</c:v>
                </c:pt>
                <c:pt idx="57">
                  <c:v>13.34554</c:v>
                </c:pt>
                <c:pt idx="58">
                  <c:v>15.33145</c:v>
                </c:pt>
                <c:pt idx="59">
                  <c:v>19.648009999999999</c:v>
                </c:pt>
                <c:pt idx="60">
                  <c:v>19.615760000000002</c:v>
                </c:pt>
                <c:pt idx="61">
                  <c:v>13.517569999999999</c:v>
                </c:pt>
                <c:pt idx="62">
                  <c:v>12.960369999999999</c:v>
                </c:pt>
                <c:pt idx="63">
                  <c:v>13.037570000000001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989600"/>
        <c:axId val="422989992"/>
      </c:scatterChart>
      <c:valAx>
        <c:axId val="4229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PIB per capita (US$ constantes de 2005)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989992"/>
        <c:crosses val="autoZero"/>
        <c:crossBetween val="midCat"/>
      </c:valAx>
      <c:valAx>
        <c:axId val="422989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Gastos com educação (%)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9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Boxplot</a:t>
            </a:r>
            <a:r>
              <a:rPr lang="pt-BR" baseline="0"/>
              <a:t> variável Y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95762976840083"/>
          <c:y val="2.9976290138453883E-2"/>
          <c:w val="0.86473489971553286"/>
          <c:h val="0.92435707781051712"/>
        </c:manualLayout>
      </c:layout>
      <c:barChart>
        <c:barDir val="col"/>
        <c:grouping val="stacked"/>
        <c:varyColors val="0"/>
        <c:ser>
          <c:idx val="6"/>
          <c:order val="0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'Planilha Suporte'!$Y$2</c:f>
              <c:numCache>
                <c:formatCode>0.00</c:formatCode>
                <c:ptCount val="1"/>
                <c:pt idx="0">
                  <c:v>8.1226400000000005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57-4FE2-A288-A8724F0CF3F7}"/>
            </c:ext>
          </c:extLst>
        </c:ser>
        <c:ser>
          <c:idx val="0"/>
          <c:order val="1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Suporte'!$Y$3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57-4FE2-A288-A8724F0CF3F7}"/>
            </c:ext>
          </c:extLst>
        </c:ser>
        <c:ser>
          <c:idx val="1"/>
          <c:order val="2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Suporte'!$Y$4</c:f>
              <c:numCache>
                <c:formatCode>0.00</c:formatCode>
                <c:ptCount val="1"/>
                <c:pt idx="0">
                  <c:v>2.554337499999999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E57-4FE2-A288-A8724F0CF3F7}"/>
            </c:ext>
          </c:extLst>
        </c:ser>
        <c:ser>
          <c:idx val="2"/>
          <c:order val="3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Suporte'!$Y$5</c:f>
              <c:numCache>
                <c:formatCode>0.00</c:formatCode>
                <c:ptCount val="1"/>
                <c:pt idx="0">
                  <c:v>2.9227075000000013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E57-4FE2-A288-A8724F0CF3F7}"/>
            </c:ext>
          </c:extLst>
        </c:ser>
        <c:ser>
          <c:idx val="3"/>
          <c:order val="4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Suporte'!$Y$6</c:f>
              <c:numCache>
                <c:formatCode>0.00</c:formatCode>
                <c:ptCount val="1"/>
                <c:pt idx="0">
                  <c:v>2.9805375000000005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57-4FE2-A288-A8724F0CF3F7}"/>
            </c:ext>
          </c:extLst>
        </c:ser>
        <c:ser>
          <c:idx val="4"/>
          <c:order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Suporte'!$Y$7</c:f>
              <c:numCache>
                <c:formatCode>0.00</c:formatCode>
                <c:ptCount val="1"/>
                <c:pt idx="0">
                  <c:v>9.6130274999999976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E57-4FE2-A288-A8724F0CF3F7}"/>
            </c:ext>
          </c:extLst>
        </c:ser>
        <c:ser>
          <c:idx val="5"/>
          <c:order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plus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'Planilha Suporte'!$Y$8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E57-4FE2-A288-A8724F0C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22987248"/>
        <c:axId val="422988032"/>
      </c:barChart>
      <c:lineChart>
        <c:grouping val="stacked"/>
        <c:varyColors val="0"/>
        <c:ser>
          <c:idx val="7"/>
          <c:order val="7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'Planilha Suporte'!$U$8</c:f>
              <c:numCache>
                <c:formatCode>0.00</c:formatCode>
                <c:ptCount val="1"/>
                <c:pt idx="0">
                  <c:v>14.348792031250001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E57-4FE2-A288-A8724F0C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987248"/>
        <c:axId val="422988032"/>
      </c:lineChart>
      <c:catAx>
        <c:axId val="42298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988032"/>
        <c:crosses val="autoZero"/>
        <c:auto val="1"/>
        <c:lblAlgn val="ctr"/>
        <c:lblOffset val="100"/>
        <c:noMultiLvlLbl val="0"/>
      </c:catAx>
      <c:valAx>
        <c:axId val="4229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9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Boxplot variável 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6"/>
          <c:order val="0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[1]Boxplot!$F$3</c:f>
              <c:numCache>
                <c:formatCode>General</c:formatCode>
                <c:ptCount val="1"/>
                <c:pt idx="0">
                  <c:v>2.455804189474331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57-4FE2-A288-A8724F0CF3F7}"/>
            </c:ext>
          </c:extLst>
        </c:ser>
        <c:ser>
          <c:idx val="0"/>
          <c:order val="1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Suporte'!$Z$3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E57-4FE2-A288-A8724F0CF3F7}"/>
            </c:ext>
          </c:extLst>
        </c:ser>
        <c:ser>
          <c:idx val="1"/>
          <c:order val="2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Suporte'!$Z$4</c:f>
              <c:numCache>
                <c:formatCode>0.00</c:formatCode>
                <c:ptCount val="1"/>
                <c:pt idx="0">
                  <c:v>1556.1073555265893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E57-4FE2-A288-A8724F0CF3F7}"/>
            </c:ext>
          </c:extLst>
        </c:ser>
        <c:ser>
          <c:idx val="2"/>
          <c:order val="3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Suporte'!$Z$5</c:f>
              <c:numCache>
                <c:formatCode>0.00</c:formatCode>
                <c:ptCount val="1"/>
                <c:pt idx="0">
                  <c:v>6640.098350720401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E57-4FE2-A288-A8724F0CF3F7}"/>
            </c:ext>
          </c:extLst>
        </c:ser>
        <c:ser>
          <c:idx val="3"/>
          <c:order val="4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'Planilha Suporte'!$Z$6</c:f>
              <c:numCache>
                <c:formatCode>0.00</c:formatCode>
                <c:ptCount val="1"/>
                <c:pt idx="0">
                  <c:v>26755.027301256003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E57-4FE2-A288-A8724F0CF3F7}"/>
            </c:ext>
          </c:extLst>
        </c:ser>
        <c:ser>
          <c:idx val="4"/>
          <c:order val="5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minus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[1]Boxplot!$F$2</c:f>
              <c:numCache>
                <c:formatCode>General</c:formatCode>
                <c:ptCount val="1"/>
              </c:numCache>
            </c:numRef>
          </c:cat>
          <c:val>
            <c:numRef>
              <c:f>[1]Boxplot!$F$8</c:f>
              <c:numCache>
                <c:formatCode>General</c:formatCode>
                <c:ptCount val="1"/>
                <c:pt idx="0">
                  <c:v>3.9725767138034325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E57-4FE2-A288-A8724F0CF3F7}"/>
            </c:ext>
          </c:extLst>
        </c:ser>
        <c:ser>
          <c:idx val="5"/>
          <c:order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plus"/>
            <c:errValType val="percentage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'Planilha Suporte'!$Z$8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E57-4FE2-A288-A8724F0C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21315600"/>
        <c:axId val="421319912"/>
      </c:barChart>
      <c:lineChart>
        <c:grouping val="stacked"/>
        <c:varyColors val="0"/>
        <c:ser>
          <c:idx val="7"/>
          <c:order val="7"/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'Planilha Suporte'!$V$8</c:f>
              <c:numCache>
                <c:formatCode>0.00</c:formatCode>
                <c:ptCount val="1"/>
                <c:pt idx="0">
                  <c:v>16636.431723721544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E57-4FE2-A288-A8724F0C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15600"/>
        <c:axId val="421319912"/>
      </c:lineChart>
      <c:catAx>
        <c:axId val="42131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1319912"/>
        <c:crosses val="autoZero"/>
        <c:auto val="1"/>
        <c:lblAlgn val="ctr"/>
        <c:lblOffset val="100"/>
        <c:noMultiLvlLbl val="0"/>
      </c:catAx>
      <c:valAx>
        <c:axId val="4213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131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22</xdr:row>
      <xdr:rowOff>4761</xdr:rowOff>
    </xdr:from>
    <xdr:to>
      <xdr:col>25</xdr:col>
      <xdr:colOff>209550</xdr:colOff>
      <xdr:row>35</xdr:row>
      <xdr:rowOff>47624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561976</xdr:colOff>
      <xdr:row>8</xdr:row>
      <xdr:rowOff>66675</xdr:rowOff>
    </xdr:from>
    <xdr:to>
      <xdr:col>23</xdr:col>
      <xdr:colOff>276225</xdr:colOff>
      <xdr:row>20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="" xmlns:a16="http://schemas.microsoft.com/office/drawing/2014/main" id="{FFCF4764-62AF-409C-A3E1-1B93D5DC8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466726</xdr:colOff>
      <xdr:row>8</xdr:row>
      <xdr:rowOff>66676</xdr:rowOff>
    </xdr:from>
    <xdr:to>
      <xdr:col>28</xdr:col>
      <xdr:colOff>190500</xdr:colOff>
      <xdr:row>20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FFCF4764-62AF-409C-A3E1-1B93D5DC8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NOMETRIA%20-%20REVIS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e 1 - Estat. Descritiva"/>
      <sheetName val="Boxplot"/>
      <sheetName val="Parte 2 - Modelo Econométrico"/>
      <sheetName val="Revisão"/>
      <sheetName val="Método Rápido"/>
    </sheetNames>
    <sheetDataSet>
      <sheetData sheetId="0"/>
      <sheetData sheetId="1">
        <row r="2">
          <cell r="F2"/>
        </row>
        <row r="3">
          <cell r="F3">
            <v>2.455804189474331</v>
          </cell>
        </row>
        <row r="8">
          <cell r="F8">
            <v>3.9725767138034325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G65"/>
  <sheetViews>
    <sheetView workbookViewId="0"/>
  </sheetViews>
  <sheetFormatPr defaultRowHeight="15" x14ac:dyDescent="0.25"/>
  <cols>
    <col min="1" max="1" width="28.85546875" style="6" bestFit="1" customWidth="1"/>
    <col min="2" max="6" width="33.42578125" style="8" customWidth="1"/>
  </cols>
  <sheetData>
    <row r="1" spans="1:7" x14ac:dyDescent="0.25">
      <c r="A1" s="4" t="s">
        <v>69</v>
      </c>
      <c r="B1" s="2" t="s">
        <v>65</v>
      </c>
      <c r="C1" s="2" t="s">
        <v>64</v>
      </c>
      <c r="D1" s="2" t="s">
        <v>66</v>
      </c>
      <c r="E1" s="2" t="s">
        <v>67</v>
      </c>
      <c r="F1" s="2" t="s">
        <v>68</v>
      </c>
      <c r="G1" s="1"/>
    </row>
    <row r="2" spans="1:7" x14ac:dyDescent="0.25">
      <c r="A2" s="4" t="s">
        <v>0</v>
      </c>
      <c r="B2" s="7">
        <v>0.61744999885559104</v>
      </c>
      <c r="C2" s="7">
        <v>9.4515783314663508</v>
      </c>
      <c r="D2" s="7">
        <v>7293.6581885569003</v>
      </c>
      <c r="E2" s="7">
        <v>38.566711779316776</v>
      </c>
      <c r="F2" s="7">
        <v>15.570460000000001</v>
      </c>
      <c r="G2" s="1"/>
    </row>
    <row r="3" spans="1:7" x14ac:dyDescent="0.25">
      <c r="A3" s="4" t="s">
        <v>1</v>
      </c>
      <c r="B3" s="7">
        <v>0.241390004754066</v>
      </c>
      <c r="C3" s="7">
        <v>2.1999999991457031</v>
      </c>
      <c r="D3" s="7">
        <v>1997.0522610194116</v>
      </c>
      <c r="E3" s="7">
        <v>29.758868775312614</v>
      </c>
      <c r="F3" s="7">
        <v>12.400510000000001</v>
      </c>
      <c r="G3" s="1"/>
    </row>
    <row r="4" spans="1:7" x14ac:dyDescent="0.25">
      <c r="A4" s="4" t="s">
        <v>2</v>
      </c>
      <c r="B4" s="7">
        <v>2.3856201171875</v>
      </c>
      <c r="C4" s="7">
        <v>1.9623661011905114</v>
      </c>
      <c r="D4" s="7">
        <v>36175.112506598285</v>
      </c>
      <c r="E4" s="7">
        <v>28.01903301305062</v>
      </c>
      <c r="F4" s="7">
        <v>14.3276</v>
      </c>
      <c r="G4" s="1"/>
    </row>
    <row r="5" spans="1:7" x14ac:dyDescent="0.25">
      <c r="A5" s="4" t="s">
        <v>3</v>
      </c>
      <c r="B5" s="7">
        <v>2.7984600067138699</v>
      </c>
      <c r="C5" s="7">
        <v>1.8801176594148217</v>
      </c>
      <c r="D5" s="7">
        <v>40099.966160417134</v>
      </c>
      <c r="E5" s="7">
        <v>21.881817622344979</v>
      </c>
      <c r="F5" s="7">
        <v>10.858169999999999</v>
      </c>
      <c r="G5" s="1"/>
    </row>
    <row r="6" spans="1:7" x14ac:dyDescent="0.25">
      <c r="A6" s="4" t="s">
        <v>4</v>
      </c>
      <c r="B6" s="7">
        <v>0.21848000586032901</v>
      </c>
      <c r="C6" s="7">
        <v>4.8543393238395822</v>
      </c>
      <c r="D6" s="7">
        <v>3126.7240403803503</v>
      </c>
      <c r="E6" s="7">
        <v>31.791289790537842</v>
      </c>
      <c r="F6" s="7">
        <v>8.7791099999999993</v>
      </c>
      <c r="G6" s="1"/>
    </row>
    <row r="7" spans="1:7" x14ac:dyDescent="0.25">
      <c r="A7" s="4" t="s">
        <v>5</v>
      </c>
      <c r="B7" s="7">
        <v>0.69349998235702504</v>
      </c>
      <c r="C7" s="7">
        <v>7.7407812155639846</v>
      </c>
      <c r="D7" s="7">
        <v>4524.1581679110777</v>
      </c>
      <c r="E7" s="7">
        <v>20.852178591786398</v>
      </c>
      <c r="F7" s="7">
        <v>12.86463</v>
      </c>
      <c r="G7" s="1"/>
    </row>
    <row r="8" spans="1:7" x14ac:dyDescent="0.25">
      <c r="A8" s="4" t="s">
        <v>6</v>
      </c>
      <c r="B8" s="7">
        <v>2.10477995872498</v>
      </c>
      <c r="C8" s="7">
        <v>2.5010545665515025</v>
      </c>
      <c r="D8" s="7">
        <v>37745.501703613969</v>
      </c>
      <c r="E8" s="7">
        <v>25.395925900409388</v>
      </c>
      <c r="F8" s="7">
        <v>12.223739999999999</v>
      </c>
      <c r="G8" s="1"/>
    </row>
    <row r="9" spans="1:7" x14ac:dyDescent="0.25">
      <c r="A9" s="4" t="s">
        <v>7</v>
      </c>
      <c r="B9" s="7">
        <v>1.1604199409484901</v>
      </c>
      <c r="C9" s="7">
        <v>7.5720671552290071</v>
      </c>
      <c r="D9" s="7">
        <v>5678.2860346340567</v>
      </c>
      <c r="E9" s="7">
        <v>37.709678185702835</v>
      </c>
      <c r="F9" s="7">
        <v>14.559889999999999</v>
      </c>
      <c r="G9" s="1"/>
    </row>
    <row r="10" spans="1:7" x14ac:dyDescent="0.25">
      <c r="A10" s="4" t="s">
        <v>8</v>
      </c>
      <c r="B10" s="7">
        <v>0.59794002771377597</v>
      </c>
      <c r="C10" s="7">
        <v>0.65532511235480229</v>
      </c>
      <c r="D10" s="7">
        <v>4559.6954470031878</v>
      </c>
      <c r="E10" s="7">
        <v>19.485786470116324</v>
      </c>
      <c r="F10" s="7">
        <v>11.16342</v>
      </c>
      <c r="G10" s="1"/>
    </row>
    <row r="11" spans="1:7" x14ac:dyDescent="0.25">
      <c r="A11" s="4" t="s">
        <v>9</v>
      </c>
      <c r="B11" s="7">
        <v>0.13754999637603799</v>
      </c>
      <c r="C11" s="7">
        <v>3.7859025431217219</v>
      </c>
      <c r="D11" s="7">
        <v>150.74274826347758</v>
      </c>
      <c r="E11" s="7">
        <v>82.053945056425576</v>
      </c>
      <c r="F11" s="7">
        <v>16.588100000000001</v>
      </c>
      <c r="G11" s="1"/>
    </row>
    <row r="12" spans="1:7" x14ac:dyDescent="0.25">
      <c r="A12" s="4" t="s">
        <v>10</v>
      </c>
      <c r="B12" s="7">
        <v>1.8600800037384</v>
      </c>
      <c r="C12" s="7">
        <v>3.3742485547244172</v>
      </c>
      <c r="D12" s="7">
        <v>36465.710863547902</v>
      </c>
      <c r="E12" s="7">
        <v>23.74405539363396</v>
      </c>
      <c r="F12" s="7">
        <v>12.387890000000001</v>
      </c>
      <c r="G12" s="1"/>
    </row>
    <row r="13" spans="1:7" x14ac:dyDescent="0.25">
      <c r="A13" s="4" t="s">
        <v>11</v>
      </c>
      <c r="B13" s="7">
        <v>0.41721999645233199</v>
      </c>
      <c r="C13" s="7">
        <v>5.753708903146304</v>
      </c>
      <c r="D13" s="7">
        <v>8609.2679088412897</v>
      </c>
      <c r="E13" s="7">
        <v>32.237807714903774</v>
      </c>
      <c r="F13" s="7">
        <v>17.514019999999999</v>
      </c>
      <c r="G13" s="1"/>
    </row>
    <row r="14" spans="1:7" x14ac:dyDescent="0.25">
      <c r="A14" s="4" t="s">
        <v>12</v>
      </c>
      <c r="B14" s="7">
        <v>0.1805399954319</v>
      </c>
      <c r="C14" s="7">
        <v>3.9718007047375039</v>
      </c>
      <c r="D14" s="7">
        <v>3939.1069947754286</v>
      </c>
      <c r="E14" s="7">
        <v>43.82746238643881</v>
      </c>
      <c r="F14" s="7">
        <v>16.418579999999999</v>
      </c>
      <c r="G14" s="1"/>
    </row>
    <row r="15" spans="1:7" x14ac:dyDescent="0.25">
      <c r="A15" s="4" t="s">
        <v>13</v>
      </c>
      <c r="B15" s="7">
        <v>0.75442999601364102</v>
      </c>
      <c r="C15" s="7">
        <v>-1.7011368880312006</v>
      </c>
      <c r="D15" s="7">
        <v>10523.915406034161</v>
      </c>
      <c r="E15" s="7">
        <v>22.775894382471584</v>
      </c>
      <c r="F15" s="7">
        <v>9.0825899999999997</v>
      </c>
      <c r="G15" s="1"/>
    </row>
    <row r="16" spans="1:7" x14ac:dyDescent="0.25">
      <c r="A16" s="4" t="s">
        <v>14</v>
      </c>
      <c r="B16" s="7">
        <v>0.49355000257492099</v>
      </c>
      <c r="C16" s="7">
        <v>1.3906440575121479</v>
      </c>
      <c r="D16" s="7">
        <v>24852.373674759499</v>
      </c>
      <c r="E16" s="7">
        <v>25.145562973857004</v>
      </c>
      <c r="F16" s="7">
        <v>15.68234</v>
      </c>
      <c r="G16" s="1"/>
    </row>
    <row r="17" spans="1:7" x14ac:dyDescent="0.25">
      <c r="A17" s="4" t="s">
        <v>15</v>
      </c>
      <c r="B17" s="7">
        <v>1.39740002155304</v>
      </c>
      <c r="C17" s="7">
        <v>2.2950891154049202</v>
      </c>
      <c r="D17" s="7">
        <v>14640.343169543186</v>
      </c>
      <c r="E17" s="7">
        <v>20.151363637780804</v>
      </c>
      <c r="F17" s="7">
        <v>9.7125000000000004</v>
      </c>
      <c r="G17" s="1"/>
    </row>
    <row r="18" spans="1:7" x14ac:dyDescent="0.25">
      <c r="A18" s="4" t="s">
        <v>16</v>
      </c>
      <c r="B18" s="7">
        <v>3.0013799667358398</v>
      </c>
      <c r="C18" s="7">
        <v>1.6251358849883815</v>
      </c>
      <c r="D18" s="7">
        <v>47791.919518481714</v>
      </c>
      <c r="E18" s="7">
        <v>27.475772833313616</v>
      </c>
      <c r="F18" s="7">
        <v>15.103339999999999</v>
      </c>
      <c r="G18" s="1"/>
    </row>
    <row r="19" spans="1:7" x14ac:dyDescent="0.25">
      <c r="A19" s="4" t="s">
        <v>17</v>
      </c>
      <c r="B19" s="7">
        <v>6.7230001091957106E-2</v>
      </c>
      <c r="C19" s="7">
        <v>1.3647836672697764</v>
      </c>
      <c r="D19" s="7">
        <v>2949.6137287227111</v>
      </c>
      <c r="E19" s="7">
        <v>52.564166062486308</v>
      </c>
      <c r="F19" s="7">
        <v>16.16422</v>
      </c>
      <c r="G19" s="1"/>
    </row>
    <row r="20" spans="1:7" x14ac:dyDescent="0.25">
      <c r="A20" s="4" t="s">
        <v>18</v>
      </c>
      <c r="B20" s="7">
        <v>1.61963999271393</v>
      </c>
      <c r="C20" s="7">
        <v>2.4758738514106398</v>
      </c>
      <c r="D20" s="7">
        <v>10364.464126272213</v>
      </c>
      <c r="E20" s="7">
        <v>22.944788159347944</v>
      </c>
      <c r="F20" s="7">
        <v>13.681800000000001</v>
      </c>
      <c r="G20" s="1"/>
    </row>
    <row r="21" spans="1:7" x14ac:dyDescent="0.25">
      <c r="A21" s="4" t="s">
        <v>19</v>
      </c>
      <c r="B21" s="7">
        <v>0.24566000699996901</v>
      </c>
      <c r="C21" s="7">
        <v>12.550538328899833</v>
      </c>
      <c r="D21" s="7">
        <v>238.63182187645808</v>
      </c>
      <c r="E21" s="7">
        <v>85.004237027036027</v>
      </c>
      <c r="F21" s="7">
        <v>22.035820000000001</v>
      </c>
      <c r="G21" s="1"/>
    </row>
    <row r="22" spans="1:7" x14ac:dyDescent="0.25">
      <c r="A22" s="4" t="s">
        <v>20</v>
      </c>
      <c r="B22" s="7">
        <v>3.9005999565124498</v>
      </c>
      <c r="C22" s="7">
        <v>2.9923553361053337</v>
      </c>
      <c r="D22" s="7">
        <v>39698.80530542905</v>
      </c>
      <c r="E22" s="7">
        <v>24.874028911397382</v>
      </c>
      <c r="F22" s="7">
        <v>11.956110000000001</v>
      </c>
      <c r="G22" s="1"/>
    </row>
    <row r="23" spans="1:7" x14ac:dyDescent="0.25">
      <c r="A23" s="4" t="s">
        <v>21</v>
      </c>
      <c r="B23" s="7">
        <v>2.2444601058960001</v>
      </c>
      <c r="C23" s="7">
        <v>1.9656578188557319</v>
      </c>
      <c r="D23" s="7">
        <v>35216.499562716868</v>
      </c>
      <c r="E23" s="7">
        <v>28.303837482940651</v>
      </c>
      <c r="F23" s="7">
        <v>10.069129999999999</v>
      </c>
      <c r="G23" s="1"/>
    </row>
    <row r="24" spans="1:7" x14ac:dyDescent="0.25">
      <c r="A24" s="4" t="s">
        <v>22</v>
      </c>
      <c r="B24" s="7">
        <v>2.8035199642181401</v>
      </c>
      <c r="C24" s="7">
        <v>4.0907695122806729</v>
      </c>
      <c r="D24" s="7">
        <v>37147.022169488737</v>
      </c>
      <c r="E24" s="7">
        <v>20.386593257709869</v>
      </c>
      <c r="F24" s="7">
        <v>10.616580000000001</v>
      </c>
      <c r="G24" s="1"/>
    </row>
    <row r="25" spans="1:7" x14ac:dyDescent="0.25">
      <c r="A25" s="4" t="s">
        <v>23</v>
      </c>
      <c r="B25" s="7">
        <v>0.37654998898506198</v>
      </c>
      <c r="C25" s="7">
        <v>7.8997402926816847</v>
      </c>
      <c r="D25" s="7">
        <v>606.38421894599378</v>
      </c>
      <c r="E25" s="7">
        <v>67.750719621685832</v>
      </c>
      <c r="F25" s="7">
        <v>21.244219999999999</v>
      </c>
      <c r="G25" s="1"/>
    </row>
    <row r="26" spans="1:7" x14ac:dyDescent="0.25">
      <c r="A26" s="4" t="s">
        <v>24</v>
      </c>
      <c r="B26" s="7">
        <v>4.3499998748302501E-2</v>
      </c>
      <c r="C26" s="7">
        <v>2.8693723892527601</v>
      </c>
      <c r="D26" s="7">
        <v>2270.0982681651722</v>
      </c>
      <c r="E26" s="7">
        <v>76.807399855746468</v>
      </c>
      <c r="F26" s="7">
        <v>19.29692</v>
      </c>
      <c r="G26" s="1"/>
    </row>
    <row r="27" spans="1:7" x14ac:dyDescent="0.25">
      <c r="A27" s="4" t="s">
        <v>25</v>
      </c>
      <c r="B27" s="7">
        <v>0.74927002191543601</v>
      </c>
      <c r="C27" s="7">
        <v>6.7676105587932938</v>
      </c>
      <c r="D27" s="7">
        <v>31328.375193366537</v>
      </c>
      <c r="E27" s="7">
        <v>16.200772379695994</v>
      </c>
      <c r="F27" s="7">
        <v>19.909549999999999</v>
      </c>
      <c r="G27" s="1"/>
    </row>
    <row r="28" spans="1:7" x14ac:dyDescent="0.25">
      <c r="A28" s="4" t="s">
        <v>26</v>
      </c>
      <c r="B28" s="7">
        <v>1.1700299978256199</v>
      </c>
      <c r="C28" s="7">
        <v>0.7891168795250536</v>
      </c>
      <c r="D28" s="7">
        <v>11108.89983126476</v>
      </c>
      <c r="E28" s="7">
        <v>21.336266525980655</v>
      </c>
      <c r="F28" s="7">
        <v>9.6849799999999995</v>
      </c>
      <c r="G28" s="1"/>
    </row>
    <row r="29" spans="1:7" x14ac:dyDescent="0.25">
      <c r="A29" s="4" t="s">
        <v>27</v>
      </c>
      <c r="B29" s="7">
        <v>0.79717999696731601</v>
      </c>
      <c r="C29" s="7">
        <v>10.259962989017396</v>
      </c>
      <c r="D29" s="7">
        <v>1031.5611346494393</v>
      </c>
      <c r="E29" s="7">
        <v>46.591041531705308</v>
      </c>
      <c r="F29" s="7">
        <v>11.74278</v>
      </c>
      <c r="G29" s="1"/>
    </row>
    <row r="30" spans="1:7" x14ac:dyDescent="0.25">
      <c r="A30" s="4" t="s">
        <v>28</v>
      </c>
      <c r="B30" s="7">
        <v>1.6885299682617201</v>
      </c>
      <c r="C30" s="7">
        <v>-0.27550500952816037</v>
      </c>
      <c r="D30" s="7">
        <v>46425.614155186842</v>
      </c>
      <c r="E30" s="7">
        <v>31.700321689171012</v>
      </c>
      <c r="F30" s="7">
        <v>9.2955100000000002</v>
      </c>
      <c r="G30" s="1"/>
    </row>
    <row r="31" spans="1:7" x14ac:dyDescent="0.25">
      <c r="A31" s="4" t="s">
        <v>29</v>
      </c>
      <c r="B31" s="7">
        <v>3.9650099277496298</v>
      </c>
      <c r="C31" s="7">
        <v>5.7505321840403809</v>
      </c>
      <c r="D31" s="7">
        <v>23225.415578371503</v>
      </c>
      <c r="E31" s="7">
        <v>43.702014433578533</v>
      </c>
      <c r="F31" s="7">
        <v>13.259320000000001</v>
      </c>
      <c r="G31" s="1"/>
    </row>
    <row r="32" spans="1:7" x14ac:dyDescent="0.25">
      <c r="A32" s="4" t="s">
        <v>30</v>
      </c>
      <c r="B32" s="7">
        <v>1.2645800113678001</v>
      </c>
      <c r="C32" s="7">
        <v>1.7105824180637654</v>
      </c>
      <c r="D32" s="7">
        <v>30788.538604195335</v>
      </c>
      <c r="E32" s="7">
        <v>21.380458591778407</v>
      </c>
      <c r="F32" s="7">
        <v>8.7239500000000003</v>
      </c>
      <c r="G32" s="1"/>
    </row>
    <row r="33" spans="1:7" x14ac:dyDescent="0.25">
      <c r="A33" s="4" t="s">
        <v>31</v>
      </c>
      <c r="B33" s="7">
        <v>3.2539401054382302</v>
      </c>
      <c r="C33" s="7">
        <v>4.6520301434902223</v>
      </c>
      <c r="D33" s="7">
        <v>36296.315398505394</v>
      </c>
      <c r="E33" s="7">
        <v>20.841026924106647</v>
      </c>
      <c r="F33" s="7">
        <v>9.4575800000000001</v>
      </c>
      <c r="G33" s="1"/>
    </row>
    <row r="34" spans="1:7" x14ac:dyDescent="0.25">
      <c r="A34" s="4" t="s">
        <v>32</v>
      </c>
      <c r="B34" s="7">
        <v>0.97617000341415405</v>
      </c>
      <c r="C34" s="7">
        <v>8.4022770637024706</v>
      </c>
      <c r="D34" s="7">
        <v>584.9117306765213</v>
      </c>
      <c r="E34" s="7">
        <v>77.647765878876569</v>
      </c>
      <c r="F34" s="7">
        <v>20.555990000000001</v>
      </c>
      <c r="G34" s="1"/>
    </row>
    <row r="35" spans="1:7" x14ac:dyDescent="0.25">
      <c r="A35" s="4" t="s">
        <v>33</v>
      </c>
      <c r="B35" s="7">
        <v>0.15546999871730799</v>
      </c>
      <c r="C35" s="7">
        <v>-0.47156684750859768</v>
      </c>
      <c r="D35" s="7">
        <v>560.99913794067618</v>
      </c>
      <c r="E35" s="7">
        <v>45.855310265538492</v>
      </c>
      <c r="F35" s="7">
        <v>15.684760000000001</v>
      </c>
      <c r="G35" s="1"/>
    </row>
    <row r="36" spans="1:7" x14ac:dyDescent="0.25">
      <c r="A36" s="4" t="s">
        <v>34</v>
      </c>
      <c r="B36" s="7">
        <v>0.60458999872207597</v>
      </c>
      <c r="C36" s="7">
        <v>-2.8736096958718207</v>
      </c>
      <c r="D36" s="7">
        <v>8058.7935491835151</v>
      </c>
      <c r="E36" s="7">
        <v>20.978530825946716</v>
      </c>
      <c r="F36" s="7">
        <v>8.1226400000000005</v>
      </c>
      <c r="G36" s="1"/>
    </row>
    <row r="37" spans="1:7" x14ac:dyDescent="0.25">
      <c r="A37" s="4" t="s">
        <v>35</v>
      </c>
      <c r="B37" s="7">
        <v>5.1720000803470598E-2</v>
      </c>
      <c r="C37" s="7">
        <v>27.498964227387361</v>
      </c>
      <c r="D37" s="7">
        <v>38689.017214191299</v>
      </c>
      <c r="E37" s="7">
        <v>15.888046941425996</v>
      </c>
      <c r="F37" s="7">
        <v>15.67268</v>
      </c>
      <c r="G37" s="1"/>
    </row>
    <row r="38" spans="1:7" x14ac:dyDescent="0.25">
      <c r="A38" s="4" t="s">
        <v>36</v>
      </c>
      <c r="B38" s="7">
        <v>1.0673999786377</v>
      </c>
      <c r="C38" s="7">
        <v>7.4259704961548607</v>
      </c>
      <c r="D38" s="7">
        <v>6319.003648503648</v>
      </c>
      <c r="E38" s="7">
        <v>41.026654057019734</v>
      </c>
      <c r="F38" s="7">
        <v>18.406230000000001</v>
      </c>
      <c r="G38" s="1"/>
    </row>
    <row r="39" spans="1:7" x14ac:dyDescent="0.25">
      <c r="A39" s="4" t="s">
        <v>37</v>
      </c>
      <c r="B39" s="7">
        <v>0.66141998767852805</v>
      </c>
      <c r="C39" s="7">
        <v>5.8193148304095388</v>
      </c>
      <c r="D39" s="7">
        <v>498.47514814438102</v>
      </c>
      <c r="E39" s="7">
        <v>93.034395415081789</v>
      </c>
      <c r="F39" s="7">
        <v>16.503910000000001</v>
      </c>
      <c r="G39" s="1"/>
    </row>
    <row r="40" spans="1:7" x14ac:dyDescent="0.25">
      <c r="A40" s="4" t="s">
        <v>38</v>
      </c>
      <c r="B40" s="7">
        <v>0.68136000633239702</v>
      </c>
      <c r="C40" s="7">
        <v>4.2999999999999261</v>
      </c>
      <c r="D40" s="7">
        <v>16227.712111667724</v>
      </c>
      <c r="E40" s="7">
        <v>22.35562152645932</v>
      </c>
      <c r="F40" s="7">
        <v>15.73082</v>
      </c>
      <c r="G40" s="1"/>
    </row>
    <row r="41" spans="1:7" x14ac:dyDescent="0.25">
      <c r="A41" s="4" t="s">
        <v>39</v>
      </c>
      <c r="B41" s="7">
        <v>0.45592001080513</v>
      </c>
      <c r="C41" s="7">
        <v>5.11019873147265</v>
      </c>
      <c r="D41" s="7">
        <v>8084.6290001796442</v>
      </c>
      <c r="E41" s="7">
        <v>46.964942568096397</v>
      </c>
      <c r="F41" s="7">
        <v>19.319980000000001</v>
      </c>
      <c r="G41" s="1"/>
    </row>
    <row r="42" spans="1:7" x14ac:dyDescent="0.25">
      <c r="A42" s="4" t="s">
        <v>40</v>
      </c>
      <c r="B42" s="7">
        <v>0.43986999988555903</v>
      </c>
      <c r="C42" s="7">
        <v>7.0940717618723852</v>
      </c>
      <c r="D42" s="7">
        <v>983.1659406832938</v>
      </c>
      <c r="E42" s="7">
        <v>23.097969840114018</v>
      </c>
      <c r="F42" s="7">
        <v>22.336099999999998</v>
      </c>
      <c r="G42" s="1"/>
    </row>
    <row r="43" spans="1:7" x14ac:dyDescent="0.25">
      <c r="A43" s="4" t="s">
        <v>41</v>
      </c>
      <c r="B43" s="7">
        <v>0.28334999084472701</v>
      </c>
      <c r="C43" s="7">
        <v>6.3651616849400057</v>
      </c>
      <c r="D43" s="7">
        <v>1273.2104024846064</v>
      </c>
      <c r="E43" s="7">
        <v>38.931399323039599</v>
      </c>
      <c r="F43" s="7">
        <v>14.71114</v>
      </c>
      <c r="G43" s="1"/>
    </row>
    <row r="44" spans="1:7" x14ac:dyDescent="0.25">
      <c r="A44" s="4" t="s">
        <v>42</v>
      </c>
      <c r="B44" s="7">
        <v>0.14440999925136599</v>
      </c>
      <c r="C44" s="7">
        <v>5.9637801567363766</v>
      </c>
      <c r="D44" s="7">
        <v>4149.9056475064735</v>
      </c>
      <c r="E44" s="7">
        <v>64.003760570758601</v>
      </c>
      <c r="F44" s="7">
        <v>26.193249999999999</v>
      </c>
      <c r="G44" s="1"/>
    </row>
    <row r="45" spans="1:7" x14ac:dyDescent="0.25">
      <c r="A45" s="4" t="s">
        <v>43</v>
      </c>
      <c r="B45" s="7">
        <v>0.30219998955726601</v>
      </c>
      <c r="C45" s="7">
        <v>4.8164146502244023</v>
      </c>
      <c r="D45" s="7">
        <v>376.34220962776061</v>
      </c>
      <c r="E45" s="7">
        <v>64.012022127870878</v>
      </c>
      <c r="F45" s="7">
        <v>20.81352</v>
      </c>
      <c r="G45" s="1"/>
    </row>
    <row r="46" spans="1:7" x14ac:dyDescent="0.25">
      <c r="A46" s="4" t="s">
        <v>44</v>
      </c>
      <c r="B46" s="7">
        <v>1.8561999797821001</v>
      </c>
      <c r="C46" s="7">
        <v>1.0705038483302332</v>
      </c>
      <c r="D46" s="7">
        <v>43676.329041344754</v>
      </c>
      <c r="E46" s="7">
        <v>26.101342986602088</v>
      </c>
      <c r="F46" s="7">
        <v>11.52436</v>
      </c>
      <c r="G46" s="1"/>
    </row>
    <row r="47" spans="1:7" x14ac:dyDescent="0.25">
      <c r="A47" s="4" t="s">
        <v>45</v>
      </c>
      <c r="B47" s="7">
        <v>1.6806099414825399</v>
      </c>
      <c r="C47" s="7">
        <v>0.60193444078448977</v>
      </c>
      <c r="D47" s="7">
        <v>66117.006972817806</v>
      </c>
      <c r="E47" s="7">
        <v>28.409666470846908</v>
      </c>
      <c r="F47" s="7">
        <v>15.30602</v>
      </c>
      <c r="G47" s="1"/>
    </row>
    <row r="48" spans="1:7" x14ac:dyDescent="0.25">
      <c r="A48" s="4" t="s">
        <v>46</v>
      </c>
      <c r="B48" s="7">
        <v>0.73530000448226895</v>
      </c>
      <c r="C48" s="7">
        <v>3.7098103874690906</v>
      </c>
      <c r="D48" s="7">
        <v>10066.293397443815</v>
      </c>
      <c r="E48" s="7">
        <v>21.002491759149297</v>
      </c>
      <c r="F48" s="7">
        <v>11.108919999999999</v>
      </c>
      <c r="G48" s="1"/>
    </row>
    <row r="49" spans="1:7" x14ac:dyDescent="0.25">
      <c r="A49" s="4" t="s">
        <v>47</v>
      </c>
      <c r="B49" s="7">
        <v>1.59007000923157</v>
      </c>
      <c r="C49" s="7">
        <v>1.8986750387770712</v>
      </c>
      <c r="D49" s="7">
        <v>19240.681780251747</v>
      </c>
      <c r="E49" s="7">
        <v>22.665676290055632</v>
      </c>
      <c r="F49" s="7">
        <v>10.42656</v>
      </c>
      <c r="G49" s="1"/>
    </row>
    <row r="50" spans="1:7" x14ac:dyDescent="0.25">
      <c r="A50" s="4" t="s">
        <v>48</v>
      </c>
      <c r="B50" s="7">
        <v>0.46086001396179199</v>
      </c>
      <c r="C50" s="7">
        <v>-0.9396559797708619</v>
      </c>
      <c r="D50" s="7">
        <v>5634.8940223347727</v>
      </c>
      <c r="E50" s="7">
        <v>21.402772707478693</v>
      </c>
      <c r="F50" s="7">
        <v>9.12913</v>
      </c>
      <c r="G50" s="1"/>
    </row>
    <row r="51" spans="1:7" x14ac:dyDescent="0.25">
      <c r="A51" s="4" t="s">
        <v>49</v>
      </c>
      <c r="B51" s="7">
        <v>0.54085999727249101</v>
      </c>
      <c r="C51" s="7">
        <v>4.2662476259499584</v>
      </c>
      <c r="D51" s="7">
        <v>800.43110309938504</v>
      </c>
      <c r="E51" s="7">
        <v>81.910321426951114</v>
      </c>
      <c r="F51" s="7">
        <v>20.723179999999999</v>
      </c>
      <c r="G51" s="1"/>
    </row>
    <row r="52" spans="1:7" x14ac:dyDescent="0.25">
      <c r="A52" s="4" t="s">
        <v>50</v>
      </c>
      <c r="B52" s="7">
        <v>0.79212999343872104</v>
      </c>
      <c r="C52" s="7">
        <v>0.5844780879253193</v>
      </c>
      <c r="D52" s="7">
        <v>4106.5704446375339</v>
      </c>
      <c r="E52" s="7">
        <v>24.311684081557306</v>
      </c>
      <c r="F52" s="7">
        <v>10.51355</v>
      </c>
      <c r="G52" s="1"/>
    </row>
    <row r="53" spans="1:7" x14ac:dyDescent="0.25">
      <c r="A53" s="4" t="s">
        <v>51</v>
      </c>
      <c r="B53" s="7">
        <v>2.0539999008178702</v>
      </c>
      <c r="C53" s="7">
        <v>15.24037703594152</v>
      </c>
      <c r="D53" s="7">
        <v>34758.404334915271</v>
      </c>
      <c r="E53" s="7">
        <v>23.548008418714712</v>
      </c>
      <c r="F53" s="7">
        <v>16.55659</v>
      </c>
      <c r="G53" s="1"/>
    </row>
    <row r="54" spans="1:7" x14ac:dyDescent="0.25">
      <c r="A54" s="4" t="s">
        <v>52</v>
      </c>
      <c r="B54" s="7">
        <v>0.63331997394561801</v>
      </c>
      <c r="C54" s="7">
        <v>4.827314044859051</v>
      </c>
      <c r="D54" s="7">
        <v>14582.836060850364</v>
      </c>
      <c r="E54" s="7">
        <v>20.84600801517869</v>
      </c>
      <c r="F54" s="7">
        <v>9.8575300000000006</v>
      </c>
      <c r="G54" s="1"/>
    </row>
    <row r="55" spans="1:7" x14ac:dyDescent="0.25">
      <c r="A55" s="4" t="s">
        <v>53</v>
      </c>
      <c r="B55" s="7">
        <v>2.10624003410339</v>
      </c>
      <c r="C55" s="7">
        <v>1.2218191529610749</v>
      </c>
      <c r="D55" s="7">
        <v>19327.423693832985</v>
      </c>
      <c r="E55" s="7">
        <v>20.213249852838871</v>
      </c>
      <c r="F55" s="7">
        <v>12.08019</v>
      </c>
      <c r="G55" s="1"/>
    </row>
    <row r="56" spans="1:7" x14ac:dyDescent="0.25">
      <c r="A56" s="4" t="s">
        <v>54</v>
      </c>
      <c r="B56" s="7">
        <v>0.76160001754760698</v>
      </c>
      <c r="C56" s="7">
        <v>3.0397470850071215</v>
      </c>
      <c r="D56" s="7">
        <v>5910.668523021287</v>
      </c>
      <c r="E56" s="7">
        <v>45.66513050216529</v>
      </c>
      <c r="F56" s="7">
        <v>18.044370000000001</v>
      </c>
      <c r="G56" s="1"/>
    </row>
    <row r="57" spans="1:7" x14ac:dyDescent="0.25">
      <c r="A57" s="4" t="s">
        <v>55</v>
      </c>
      <c r="B57" s="7">
        <v>1.3952000141143801</v>
      </c>
      <c r="C57" s="7">
        <v>1.3804782633314971E-2</v>
      </c>
      <c r="D57" s="7">
        <v>26191.985807810932</v>
      </c>
      <c r="E57" s="7">
        <v>21.961482217125013</v>
      </c>
      <c r="F57" s="7">
        <v>10.563980000000001</v>
      </c>
      <c r="G57" s="1"/>
    </row>
    <row r="58" spans="1:7" x14ac:dyDescent="0.25">
      <c r="A58" s="4" t="s">
        <v>56</v>
      </c>
      <c r="B58" s="7">
        <v>0.15663999319076499</v>
      </c>
      <c r="C58" s="7">
        <v>8.0159594057522412</v>
      </c>
      <c r="D58" s="7">
        <v>1610.1160513802852</v>
      </c>
      <c r="E58" s="7">
        <v>37.433780799783214</v>
      </c>
      <c r="F58" s="7">
        <v>8.6056600000000003</v>
      </c>
      <c r="G58" s="1"/>
    </row>
    <row r="59" spans="1:7" x14ac:dyDescent="0.25">
      <c r="A59" s="4" t="s">
        <v>57</v>
      </c>
      <c r="B59" s="7">
        <v>3.3919401168823202</v>
      </c>
      <c r="C59" s="7">
        <v>5.9889271333556593</v>
      </c>
      <c r="D59" s="7">
        <v>44877.910174216042</v>
      </c>
      <c r="E59" s="7">
        <v>25.283074889864963</v>
      </c>
      <c r="F59" s="7">
        <v>13.34554</v>
      </c>
      <c r="G59" s="1"/>
    </row>
    <row r="60" spans="1:7" x14ac:dyDescent="0.25">
      <c r="A60" s="4" t="s">
        <v>58</v>
      </c>
      <c r="B60" s="7">
        <v>8.9139997959137005E-2</v>
      </c>
      <c r="C60" s="7">
        <v>6.5000000000047891</v>
      </c>
      <c r="D60" s="7">
        <v>417.11051385520199</v>
      </c>
      <c r="E60" s="7">
        <v>59.084970450040728</v>
      </c>
      <c r="F60" s="7">
        <v>15.33145</v>
      </c>
      <c r="G60" s="1"/>
    </row>
    <row r="61" spans="1:7" x14ac:dyDescent="0.25">
      <c r="A61" s="4" t="s">
        <v>59</v>
      </c>
      <c r="B61" s="7">
        <v>0.51616001129150402</v>
      </c>
      <c r="C61" s="7">
        <v>6.3588860812991754</v>
      </c>
      <c r="D61" s="7">
        <v>520.69181227892</v>
      </c>
      <c r="E61" s="7">
        <v>86.154025919706541</v>
      </c>
      <c r="F61" s="7">
        <v>19.648009999999999</v>
      </c>
      <c r="G61" s="1"/>
    </row>
    <row r="62" spans="1:7" x14ac:dyDescent="0.25">
      <c r="A62" s="4" t="s">
        <v>60</v>
      </c>
      <c r="B62" s="7">
        <v>0.253490000963211</v>
      </c>
      <c r="C62" s="7">
        <v>3.9956787703640231</v>
      </c>
      <c r="D62" s="7">
        <v>392.85505648182601</v>
      </c>
      <c r="E62" s="7">
        <v>76.228799727827351</v>
      </c>
      <c r="F62" s="7">
        <v>19.615760000000002</v>
      </c>
      <c r="G62" s="1"/>
    </row>
    <row r="63" spans="1:7" x14ac:dyDescent="0.25">
      <c r="A63" s="4" t="s">
        <v>61</v>
      </c>
      <c r="B63" s="7">
        <v>0.55794000625610396</v>
      </c>
      <c r="C63" s="7">
        <v>5.1703429744023737</v>
      </c>
      <c r="D63" s="7">
        <v>390.58213659556606</v>
      </c>
      <c r="E63" s="7">
        <v>100.33839946629502</v>
      </c>
      <c r="F63" s="7">
        <v>13.517569999999999</v>
      </c>
      <c r="G63" s="1"/>
    </row>
    <row r="64" spans="1:7" x14ac:dyDescent="0.25">
      <c r="A64" s="4" t="s">
        <v>62</v>
      </c>
      <c r="B64" s="7">
        <v>1.77447998523712</v>
      </c>
      <c r="C64" s="7">
        <v>1.9113776646944416</v>
      </c>
      <c r="D64" s="7">
        <v>39471.731251428864</v>
      </c>
      <c r="E64" s="7">
        <v>26.666562470082294</v>
      </c>
      <c r="F64" s="7">
        <v>12.960369999999999</v>
      </c>
      <c r="G64" s="1"/>
    </row>
    <row r="65" spans="1:7" x14ac:dyDescent="0.25">
      <c r="A65" s="4" t="s">
        <v>63</v>
      </c>
      <c r="B65" s="7">
        <v>2.73827004432678</v>
      </c>
      <c r="C65" s="7">
        <v>2.5319203804648396</v>
      </c>
      <c r="D65" s="7">
        <v>43961.168507253649</v>
      </c>
      <c r="E65" s="7">
        <v>29.568269020866804</v>
      </c>
      <c r="F65" s="7">
        <v>13.037570000000001</v>
      </c>
      <c r="G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C31"/>
  <sheetViews>
    <sheetView workbookViewId="0"/>
  </sheetViews>
  <sheetFormatPr defaultRowHeight="15" x14ac:dyDescent="0.25"/>
  <cols>
    <col min="1" max="1" width="10" style="5" bestFit="1" customWidth="1"/>
    <col min="2" max="3" width="33.5703125" style="5" customWidth="1"/>
  </cols>
  <sheetData>
    <row r="1" spans="1:3" x14ac:dyDescent="0.25">
      <c r="A1" s="9" t="s">
        <v>73</v>
      </c>
      <c r="B1" s="9" t="s">
        <v>71</v>
      </c>
      <c r="C1" s="9" t="s">
        <v>70</v>
      </c>
    </row>
    <row r="2" spans="1:3" x14ac:dyDescent="0.25">
      <c r="A2" s="9">
        <v>102180010</v>
      </c>
      <c r="B2" s="3" t="s">
        <v>64</v>
      </c>
      <c r="C2" s="3" t="s">
        <v>65</v>
      </c>
    </row>
    <row r="3" spans="1:3" x14ac:dyDescent="0.25">
      <c r="A3" s="9">
        <v>101190016</v>
      </c>
      <c r="B3" s="3" t="s">
        <v>64</v>
      </c>
      <c r="C3" s="3" t="s">
        <v>66</v>
      </c>
    </row>
    <row r="4" spans="1:3" x14ac:dyDescent="0.25">
      <c r="A4" s="9">
        <v>101200457</v>
      </c>
      <c r="B4" s="3" t="s">
        <v>65</v>
      </c>
      <c r="C4" s="3" t="s">
        <v>66</v>
      </c>
    </row>
    <row r="5" spans="1:3" x14ac:dyDescent="0.25">
      <c r="A5" s="9">
        <v>102180021</v>
      </c>
      <c r="B5" s="3" t="s">
        <v>66</v>
      </c>
      <c r="C5" s="3" t="s">
        <v>64</v>
      </c>
    </row>
    <row r="6" spans="1:3" x14ac:dyDescent="0.25">
      <c r="A6" s="9">
        <v>101170214</v>
      </c>
      <c r="B6" s="3" t="s">
        <v>68</v>
      </c>
      <c r="C6" s="3" t="s">
        <v>64</v>
      </c>
    </row>
    <row r="7" spans="1:3" x14ac:dyDescent="0.25">
      <c r="A7" s="9">
        <v>101180193</v>
      </c>
      <c r="B7" s="3" t="s">
        <v>68</v>
      </c>
      <c r="C7" s="3" t="s">
        <v>67</v>
      </c>
    </row>
    <row r="8" spans="1:3" x14ac:dyDescent="0.25">
      <c r="A8" s="9">
        <v>101190475</v>
      </c>
      <c r="B8" s="3" t="s">
        <v>66</v>
      </c>
      <c r="C8" s="3" t="s">
        <v>65</v>
      </c>
    </row>
    <row r="9" spans="1:3" x14ac:dyDescent="0.25">
      <c r="A9" s="9">
        <v>102180054</v>
      </c>
      <c r="B9" s="3" t="s">
        <v>65</v>
      </c>
      <c r="C9" s="3" t="s">
        <v>68</v>
      </c>
    </row>
    <row r="10" spans="1:3" x14ac:dyDescent="0.25">
      <c r="A10" s="9">
        <v>102180027</v>
      </c>
      <c r="B10" s="3" t="s">
        <v>66</v>
      </c>
      <c r="C10" s="3" t="s">
        <v>67</v>
      </c>
    </row>
    <row r="11" spans="1:3" x14ac:dyDescent="0.25">
      <c r="A11" s="9">
        <v>101190516</v>
      </c>
      <c r="B11" s="3" t="s">
        <v>64</v>
      </c>
      <c r="C11" s="3" t="s">
        <v>66</v>
      </c>
    </row>
    <row r="12" spans="1:3" x14ac:dyDescent="0.25">
      <c r="A12" s="9">
        <v>101190648</v>
      </c>
      <c r="B12" s="3" t="s">
        <v>68</v>
      </c>
      <c r="C12" s="3" t="s">
        <v>66</v>
      </c>
    </row>
    <row r="13" spans="1:3" x14ac:dyDescent="0.25">
      <c r="A13" s="9">
        <v>101180325</v>
      </c>
      <c r="B13" s="3" t="s">
        <v>66</v>
      </c>
      <c r="C13" s="3" t="s">
        <v>65</v>
      </c>
    </row>
    <row r="14" spans="1:3" x14ac:dyDescent="0.25">
      <c r="A14" s="9">
        <v>101170498</v>
      </c>
      <c r="B14" s="3" t="s">
        <v>67</v>
      </c>
      <c r="C14" s="3" t="s">
        <v>68</v>
      </c>
    </row>
    <row r="15" spans="1:3" x14ac:dyDescent="0.25">
      <c r="A15" s="9">
        <v>102200030</v>
      </c>
      <c r="B15" s="3" t="s">
        <v>67</v>
      </c>
      <c r="C15" s="3" t="s">
        <v>65</v>
      </c>
    </row>
    <row r="16" spans="1:3" x14ac:dyDescent="0.25">
      <c r="A16" s="9">
        <v>101180206</v>
      </c>
      <c r="B16" s="3" t="s">
        <v>64</v>
      </c>
      <c r="C16" s="3" t="s">
        <v>65</v>
      </c>
    </row>
    <row r="17" spans="1:3" x14ac:dyDescent="0.25">
      <c r="A17" s="9">
        <v>101180336</v>
      </c>
      <c r="B17" s="3" t="s">
        <v>68</v>
      </c>
      <c r="C17" s="3" t="s">
        <v>64</v>
      </c>
    </row>
    <row r="18" spans="1:3" x14ac:dyDescent="0.25">
      <c r="A18" s="9">
        <v>101190431</v>
      </c>
      <c r="B18" s="3" t="s">
        <v>67</v>
      </c>
      <c r="C18" s="3" t="s">
        <v>64</v>
      </c>
    </row>
    <row r="19" spans="1:3" x14ac:dyDescent="0.25">
      <c r="A19" s="9">
        <v>101180319</v>
      </c>
      <c r="B19" s="3" t="s">
        <v>64</v>
      </c>
      <c r="C19" s="3" t="s">
        <v>68</v>
      </c>
    </row>
    <row r="20" spans="1:3" x14ac:dyDescent="0.25">
      <c r="A20" s="9">
        <v>101180064</v>
      </c>
      <c r="B20" s="3" t="s">
        <v>64</v>
      </c>
      <c r="C20" s="3" t="s">
        <v>67</v>
      </c>
    </row>
    <row r="21" spans="1:3" x14ac:dyDescent="0.25">
      <c r="A21" s="9">
        <v>101180120</v>
      </c>
      <c r="B21" s="3" t="s">
        <v>66</v>
      </c>
      <c r="C21" s="3" t="s">
        <v>64</v>
      </c>
    </row>
    <row r="22" spans="1:3" x14ac:dyDescent="0.25">
      <c r="A22" s="9">
        <v>101180502</v>
      </c>
      <c r="B22" s="3" t="s">
        <v>65</v>
      </c>
      <c r="C22" s="3" t="s">
        <v>64</v>
      </c>
    </row>
    <row r="23" spans="1:3" x14ac:dyDescent="0.25">
      <c r="A23" s="9">
        <v>101180555</v>
      </c>
      <c r="B23" s="3" t="s">
        <v>65</v>
      </c>
      <c r="C23" s="3" t="s">
        <v>67</v>
      </c>
    </row>
    <row r="24" spans="1:3" x14ac:dyDescent="0.25">
      <c r="A24" s="9">
        <v>101190414</v>
      </c>
      <c r="B24" s="3" t="s">
        <v>64</v>
      </c>
      <c r="C24" s="3" t="s">
        <v>68</v>
      </c>
    </row>
    <row r="25" spans="1:3" x14ac:dyDescent="0.25">
      <c r="A25" s="9">
        <v>102180024</v>
      </c>
      <c r="B25" s="3" t="s">
        <v>66</v>
      </c>
      <c r="C25" s="3" t="s">
        <v>68</v>
      </c>
    </row>
    <row r="26" spans="1:3" x14ac:dyDescent="0.25">
      <c r="A26" s="9">
        <v>101170148</v>
      </c>
      <c r="B26" s="3" t="s">
        <v>68</v>
      </c>
      <c r="C26" s="3" t="s">
        <v>67</v>
      </c>
    </row>
    <row r="27" spans="1:3" x14ac:dyDescent="0.25">
      <c r="A27" s="9">
        <v>101180201</v>
      </c>
      <c r="B27" s="3" t="s">
        <v>65</v>
      </c>
      <c r="C27" s="3" t="s">
        <v>64</v>
      </c>
    </row>
    <row r="28" spans="1:3" x14ac:dyDescent="0.25">
      <c r="A28" s="9">
        <v>101190008</v>
      </c>
      <c r="B28" s="3" t="s">
        <v>65</v>
      </c>
      <c r="C28" s="3" t="s">
        <v>67</v>
      </c>
    </row>
    <row r="29" spans="1:3" x14ac:dyDescent="0.25">
      <c r="A29" s="9">
        <v>102160085</v>
      </c>
      <c r="B29" s="3" t="s">
        <v>67</v>
      </c>
      <c r="C29" s="3" t="s">
        <v>65</v>
      </c>
    </row>
    <row r="30" spans="1:3" x14ac:dyDescent="0.25">
      <c r="A30" s="9">
        <v>101180481</v>
      </c>
      <c r="B30" s="3" t="s">
        <v>67</v>
      </c>
      <c r="C30" s="3" t="s">
        <v>64</v>
      </c>
    </row>
    <row r="31" spans="1:3" x14ac:dyDescent="0.25">
      <c r="A31" s="9">
        <v>101170502</v>
      </c>
      <c r="B31" s="3" t="s">
        <v>65</v>
      </c>
      <c r="C31" s="3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/>
  <dimension ref="A1:Y217"/>
  <sheetViews>
    <sheetView showGridLines="0" topLeftCell="B1" zoomScaleNormal="100" workbookViewId="0">
      <selection activeCell="F2" sqref="F2:G4"/>
    </sheetView>
  </sheetViews>
  <sheetFormatPr defaultColWidth="0" defaultRowHeight="15.75" zeroHeight="1" x14ac:dyDescent="0.25"/>
  <cols>
    <col min="1" max="1" width="3.42578125" style="30" hidden="1" customWidth="1"/>
    <col min="2" max="2" width="17" style="30" bestFit="1" customWidth="1"/>
    <col min="3" max="4" width="20.85546875" style="30" customWidth="1"/>
    <col min="5" max="5" width="9.140625" style="30" customWidth="1"/>
    <col min="6" max="6" width="20.7109375" style="30" bestFit="1" customWidth="1"/>
    <col min="7" max="17" width="9.140625" style="30" customWidth="1"/>
    <col min="18" max="18" width="0.140625" style="30" customWidth="1"/>
    <col min="19" max="25" width="0" style="30" hidden="1" customWidth="1"/>
    <col min="26" max="16384" width="9.140625" style="30" hidden="1"/>
  </cols>
  <sheetData>
    <row r="1" spans="1:17" ht="15.75" customHeight="1" x14ac:dyDescent="0.25">
      <c r="A1" s="88" t="s">
        <v>69</v>
      </c>
      <c r="B1" s="94"/>
      <c r="C1" s="28" t="s">
        <v>71</v>
      </c>
      <c r="D1" s="29" t="s">
        <v>70</v>
      </c>
      <c r="F1" s="88" t="s">
        <v>72</v>
      </c>
      <c r="G1" s="89"/>
      <c r="H1" s="97" t="s">
        <v>74</v>
      </c>
      <c r="I1" s="97"/>
      <c r="J1" s="97"/>
      <c r="K1" s="97"/>
      <c r="L1" s="97"/>
      <c r="M1" s="97"/>
      <c r="N1" s="97"/>
      <c r="O1" s="97"/>
      <c r="P1" s="97"/>
      <c r="Q1" s="98"/>
    </row>
    <row r="2" spans="1:17" ht="35.25" customHeight="1" thickBot="1" x14ac:dyDescent="0.3">
      <c r="A2" s="95"/>
      <c r="B2" s="96"/>
      <c r="C2" s="31" t="str">
        <f>IFERROR(VLOOKUP(F2,Cruzamento!$A$2:$C$31,2,FALSE),"")</f>
        <v>Gastos com educação (%)</v>
      </c>
      <c r="D2" s="32" t="str">
        <f>IFERROR(VLOOKUP(F2,Cruzamento!$A$2:$C$31,3,FALSE),"")</f>
        <v>PIB per capita (US$ constantes de 2005)</v>
      </c>
      <c r="F2" s="90">
        <v>101190648</v>
      </c>
      <c r="G2" s="91"/>
      <c r="H2" s="99"/>
      <c r="I2" s="99"/>
      <c r="J2" s="99"/>
      <c r="K2" s="99"/>
      <c r="L2" s="99"/>
      <c r="M2" s="99"/>
      <c r="N2" s="99"/>
      <c r="O2" s="99"/>
      <c r="P2" s="99"/>
      <c r="Q2" s="100"/>
    </row>
    <row r="3" spans="1:17" ht="15.75" customHeight="1" x14ac:dyDescent="0.25">
      <c r="A3" s="33">
        <v>2</v>
      </c>
      <c r="B3" s="34" t="s">
        <v>0</v>
      </c>
      <c r="C3" s="35">
        <f>IFERROR(IF(HLOOKUP(C$2,'Database Geral'!$B$1:$F$65,'Base de Dados P1'!$A3,FALSE)=0,,HLOOKUP(C$2,'Database Geral'!$B$1:$F$65,'Base de Dados P1'!$A3,FALSE)),"")</f>
        <v>15.570460000000001</v>
      </c>
      <c r="D3" s="36">
        <f>IFERROR(IF(HLOOKUP(D$2,'Database Geral'!$B$1:$F$65,'Base de Dados P1'!$A3,FALSE)=0,,HLOOKUP(D$2,'Database Geral'!$B$1:$F$65,'Base de Dados P1'!$A3,FALSE)),"")</f>
        <v>7293.6581885569003</v>
      </c>
      <c r="F3" s="90"/>
      <c r="G3" s="91"/>
      <c r="H3" s="99"/>
      <c r="I3" s="99"/>
      <c r="J3" s="99"/>
      <c r="K3" s="99"/>
      <c r="L3" s="99"/>
      <c r="M3" s="99"/>
      <c r="N3" s="99"/>
      <c r="O3" s="99"/>
      <c r="P3" s="99"/>
      <c r="Q3" s="100"/>
    </row>
    <row r="4" spans="1:17" ht="15.75" customHeight="1" thickBot="1" x14ac:dyDescent="0.3">
      <c r="A4" s="33">
        <v>3</v>
      </c>
      <c r="B4" s="37" t="s">
        <v>1</v>
      </c>
      <c r="C4" s="38">
        <f>IFERROR(IF(HLOOKUP(C$2,'Database Geral'!$B$1:$F$65,'Base de Dados P1'!$A4,FALSE)=0,,HLOOKUP(C$2,'Database Geral'!$B$1:$F$65,'Base de Dados P1'!$A4,FALSE)),"")</f>
        <v>12.400510000000001</v>
      </c>
      <c r="D4" s="39">
        <f>IFERROR(IF(HLOOKUP(D$2,'Database Geral'!$B$1:$F$65,'Base de Dados P1'!$A4,FALSE)=0,,HLOOKUP(D$2,'Database Geral'!$B$1:$F$65,'Base de Dados P1'!$A4,FALSE)),"")</f>
        <v>1997.0522610194116</v>
      </c>
      <c r="F4" s="92"/>
      <c r="G4" s="93"/>
      <c r="H4" s="101" t="s">
        <v>75</v>
      </c>
      <c r="I4" s="101"/>
      <c r="J4" s="101"/>
      <c r="K4" s="101"/>
      <c r="L4" s="101"/>
      <c r="M4" s="101"/>
      <c r="N4" s="101"/>
      <c r="O4" s="101"/>
      <c r="P4" s="101"/>
      <c r="Q4" s="102"/>
    </row>
    <row r="5" spans="1:17" ht="15.75" customHeight="1" x14ac:dyDescent="0.25">
      <c r="A5" s="33">
        <v>4</v>
      </c>
      <c r="B5" s="37" t="s">
        <v>2</v>
      </c>
      <c r="C5" s="38">
        <f>IFERROR(IF(HLOOKUP(C$2,'Database Geral'!$B$1:$F$65,'Base de Dados P1'!$A5,FALSE)=0,,HLOOKUP(C$2,'Database Geral'!$B$1:$F$65,'Base de Dados P1'!$A5,FALSE)),"")</f>
        <v>14.3276</v>
      </c>
      <c r="D5" s="39">
        <f>IFERROR(IF(HLOOKUP(D$2,'Database Geral'!$B$1:$F$65,'Base de Dados P1'!$A5,FALSE)=0,,HLOOKUP(D$2,'Database Geral'!$B$1:$F$65,'Base de Dados P1'!$A5,FALSE)),"")</f>
        <v>36175.112506598285</v>
      </c>
      <c r="F5" s="82" t="s">
        <v>95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4"/>
    </row>
    <row r="6" spans="1:17" x14ac:dyDescent="0.25">
      <c r="A6" s="33">
        <v>5</v>
      </c>
      <c r="B6" s="37" t="s">
        <v>3</v>
      </c>
      <c r="C6" s="38">
        <f>IFERROR(IF(HLOOKUP(C$2,'Database Geral'!$B$1:$F$65,'Base de Dados P1'!$A6,FALSE)=0,,HLOOKUP(C$2,'Database Geral'!$B$1:$F$65,'Base de Dados P1'!$A6,FALSE)),"")</f>
        <v>10.858169999999999</v>
      </c>
      <c r="D6" s="39">
        <f>IFERROR(IF(HLOOKUP(D$2,'Database Geral'!$B$1:$F$65,'Base de Dados P1'!$A6,FALSE)=0,,HLOOKUP(D$2,'Database Geral'!$B$1:$F$65,'Base de Dados P1'!$A6,FALSE)),"")</f>
        <v>40099.966160417134</v>
      </c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4"/>
    </row>
    <row r="7" spans="1:17" x14ac:dyDescent="0.25">
      <c r="A7" s="33">
        <v>6</v>
      </c>
      <c r="B7" s="37" t="s">
        <v>4</v>
      </c>
      <c r="C7" s="38">
        <f>IFERROR(IF(HLOOKUP(C$2,'Database Geral'!$B$1:$F$65,'Base de Dados P1'!$A7,FALSE)=0,,HLOOKUP(C$2,'Database Geral'!$B$1:$F$65,'Base de Dados P1'!$A7,FALSE)),"")</f>
        <v>8.7791099999999993</v>
      </c>
      <c r="D7" s="39">
        <f>IFERROR(IF(HLOOKUP(D$2,'Database Geral'!$B$1:$F$65,'Base de Dados P1'!$A7,FALSE)=0,,HLOOKUP(D$2,'Database Geral'!$B$1:$F$65,'Base de Dados P1'!$A7,FALSE)),"")</f>
        <v>3126.7240403803503</v>
      </c>
      <c r="F7" s="82"/>
      <c r="G7" s="83"/>
      <c r="H7" s="83"/>
      <c r="I7" s="83"/>
      <c r="J7" s="83"/>
      <c r="K7" s="83"/>
      <c r="L7" s="83"/>
      <c r="M7" s="83"/>
      <c r="N7" s="83"/>
      <c r="O7" s="83"/>
      <c r="P7" s="83"/>
      <c r="Q7" s="84"/>
    </row>
    <row r="8" spans="1:17" x14ac:dyDescent="0.25">
      <c r="A8" s="33">
        <v>7</v>
      </c>
      <c r="B8" s="37" t="s">
        <v>5</v>
      </c>
      <c r="C8" s="38">
        <f>IFERROR(IF(HLOOKUP(C$2,'Database Geral'!$B$1:$F$65,'Base de Dados P1'!$A8,FALSE)=0,,HLOOKUP(C$2,'Database Geral'!$B$1:$F$65,'Base de Dados P1'!$A8,FALSE)),"")</f>
        <v>12.86463</v>
      </c>
      <c r="D8" s="39">
        <f>IFERROR(IF(HLOOKUP(D$2,'Database Geral'!$B$1:$F$65,'Base de Dados P1'!$A8,FALSE)=0,,HLOOKUP(D$2,'Database Geral'!$B$1:$F$65,'Base de Dados P1'!$A8,FALSE)),"")</f>
        <v>4524.1581679110777</v>
      </c>
      <c r="F8" s="82"/>
      <c r="G8" s="83"/>
      <c r="H8" s="83"/>
      <c r="I8" s="83"/>
      <c r="J8" s="83"/>
      <c r="K8" s="83"/>
      <c r="L8" s="83"/>
      <c r="M8" s="83"/>
      <c r="N8" s="83"/>
      <c r="O8" s="83"/>
      <c r="P8" s="83"/>
      <c r="Q8" s="84"/>
    </row>
    <row r="9" spans="1:17" x14ac:dyDescent="0.25">
      <c r="A9" s="33">
        <v>8</v>
      </c>
      <c r="B9" s="37" t="s">
        <v>6</v>
      </c>
      <c r="C9" s="38">
        <f>IFERROR(IF(HLOOKUP(C$2,'Database Geral'!$B$1:$F$65,'Base de Dados P1'!$A9,FALSE)=0,,HLOOKUP(C$2,'Database Geral'!$B$1:$F$65,'Base de Dados P1'!$A9,FALSE)),"")</f>
        <v>12.223739999999999</v>
      </c>
      <c r="D9" s="39">
        <f>IFERROR(IF(HLOOKUP(D$2,'Database Geral'!$B$1:$F$65,'Base de Dados P1'!$A9,FALSE)=0,,HLOOKUP(D$2,'Database Geral'!$B$1:$F$65,'Base de Dados P1'!$A9,FALSE)),"")</f>
        <v>37745.501703613969</v>
      </c>
      <c r="F9" s="82"/>
      <c r="G9" s="83"/>
      <c r="H9" s="83"/>
      <c r="I9" s="83"/>
      <c r="J9" s="83"/>
      <c r="K9" s="83"/>
      <c r="L9" s="83"/>
      <c r="M9" s="83"/>
      <c r="N9" s="83"/>
      <c r="O9" s="83"/>
      <c r="P9" s="83"/>
      <c r="Q9" s="84"/>
    </row>
    <row r="10" spans="1:17" x14ac:dyDescent="0.25">
      <c r="A10" s="33">
        <v>9</v>
      </c>
      <c r="B10" s="37" t="s">
        <v>7</v>
      </c>
      <c r="C10" s="38">
        <f>IFERROR(IF(HLOOKUP(C$2,'Database Geral'!$B$1:$F$65,'Base de Dados P1'!$A10,FALSE)=0,,HLOOKUP(C$2,'Database Geral'!$B$1:$F$65,'Base de Dados P1'!$A10,FALSE)),"")</f>
        <v>14.559889999999999</v>
      </c>
      <c r="D10" s="39">
        <f>IFERROR(IF(HLOOKUP(D$2,'Database Geral'!$B$1:$F$65,'Base de Dados P1'!$A10,FALSE)=0,,HLOOKUP(D$2,'Database Geral'!$B$1:$F$65,'Base de Dados P1'!$A10,FALSE)),"")</f>
        <v>5678.2860346340567</v>
      </c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4"/>
    </row>
    <row r="11" spans="1:17" x14ac:dyDescent="0.25">
      <c r="A11" s="33">
        <v>10</v>
      </c>
      <c r="B11" s="37" t="s">
        <v>8</v>
      </c>
      <c r="C11" s="38">
        <f>IFERROR(IF(HLOOKUP(C$2,'Database Geral'!$B$1:$F$65,'Base de Dados P1'!$A11,FALSE)=0,,HLOOKUP(C$2,'Database Geral'!$B$1:$F$65,'Base de Dados P1'!$A11,FALSE)),"")</f>
        <v>11.16342</v>
      </c>
      <c r="D11" s="39">
        <f>IFERROR(IF(HLOOKUP(D$2,'Database Geral'!$B$1:$F$65,'Base de Dados P1'!$A11,FALSE)=0,,HLOOKUP(D$2,'Database Geral'!$B$1:$F$65,'Base de Dados P1'!$A11,FALSE)),"")</f>
        <v>4559.6954470031878</v>
      </c>
      <c r="F11" s="82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</row>
    <row r="12" spans="1:17" ht="16.5" thickBot="1" x14ac:dyDescent="0.3">
      <c r="A12" s="33">
        <v>11</v>
      </c>
      <c r="B12" s="37" t="s">
        <v>9</v>
      </c>
      <c r="C12" s="38">
        <f>IFERROR(IF(HLOOKUP(C$2,'Database Geral'!$B$1:$F$65,'Base de Dados P1'!$A12,FALSE)=0,,HLOOKUP(C$2,'Database Geral'!$B$1:$F$65,'Base de Dados P1'!$A12,FALSE)),"")</f>
        <v>16.588100000000001</v>
      </c>
      <c r="D12" s="39">
        <f>IFERROR(IF(HLOOKUP(D$2,'Database Geral'!$B$1:$F$65,'Base de Dados P1'!$A12,FALSE)=0,,HLOOKUP(D$2,'Database Geral'!$B$1:$F$65,'Base de Dados P1'!$A12,FALSE)),"")</f>
        <v>150.74274826347758</v>
      </c>
      <c r="F12" s="85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7"/>
    </row>
    <row r="13" spans="1:17" x14ac:dyDescent="0.25">
      <c r="A13" s="33">
        <v>12</v>
      </c>
      <c r="B13" s="37" t="s">
        <v>10</v>
      </c>
      <c r="C13" s="38">
        <f>IFERROR(IF(HLOOKUP(C$2,'Database Geral'!$B$1:$F$65,'Base de Dados P1'!$A13,FALSE)=0,,HLOOKUP(C$2,'Database Geral'!$B$1:$F$65,'Base de Dados P1'!$A13,FALSE)),"")</f>
        <v>12.387890000000001</v>
      </c>
      <c r="D13" s="39">
        <f>IFERROR(IF(HLOOKUP(D$2,'Database Geral'!$B$1:$F$65,'Base de Dados P1'!$A13,FALSE)=0,,HLOOKUP(D$2,'Database Geral'!$B$1:$F$65,'Base de Dados P1'!$A13,FALSE)),"")</f>
        <v>36465.710863547902</v>
      </c>
    </row>
    <row r="14" spans="1:17" x14ac:dyDescent="0.25">
      <c r="A14" s="33">
        <v>13</v>
      </c>
      <c r="B14" s="37" t="s">
        <v>11</v>
      </c>
      <c r="C14" s="38">
        <f>IFERROR(IF(HLOOKUP(C$2,'Database Geral'!$B$1:$F$65,'Base de Dados P1'!$A14,FALSE)=0,,HLOOKUP(C$2,'Database Geral'!$B$1:$F$65,'Base de Dados P1'!$A14,FALSE)),"")</f>
        <v>17.514019999999999</v>
      </c>
      <c r="D14" s="39">
        <f>IFERROR(IF(HLOOKUP(D$2,'Database Geral'!$B$1:$F$65,'Base de Dados P1'!$A14,FALSE)=0,,HLOOKUP(D$2,'Database Geral'!$B$1:$F$65,'Base de Dados P1'!$A14,FALSE)),"")</f>
        <v>8609.2679088412897</v>
      </c>
      <c r="F14" s="40" t="s">
        <v>76</v>
      </c>
    </row>
    <row r="15" spans="1:17" x14ac:dyDescent="0.25">
      <c r="A15" s="33">
        <v>14</v>
      </c>
      <c r="B15" s="37" t="s">
        <v>12</v>
      </c>
      <c r="C15" s="38">
        <f>IFERROR(IF(HLOOKUP(C$2,'Database Geral'!$B$1:$F$65,'Base de Dados P1'!$A15,FALSE)=0,,HLOOKUP(C$2,'Database Geral'!$B$1:$F$65,'Base de Dados P1'!$A15,FALSE)),"")</f>
        <v>16.418579999999999</v>
      </c>
      <c r="D15" s="39">
        <f>IFERROR(IF(HLOOKUP(D$2,'Database Geral'!$B$1:$F$65,'Base de Dados P1'!$A15,FALSE)=0,,HLOOKUP(D$2,'Database Geral'!$B$1:$F$65,'Base de Dados P1'!$A15,FALSE)),"")</f>
        <v>3939.1069947754286</v>
      </c>
      <c r="F15" s="41" t="s">
        <v>96</v>
      </c>
    </row>
    <row r="16" spans="1:17" x14ac:dyDescent="0.25">
      <c r="A16" s="33">
        <v>15</v>
      </c>
      <c r="B16" s="37" t="s">
        <v>13</v>
      </c>
      <c r="C16" s="38">
        <f>IFERROR(IF(HLOOKUP(C$2,'Database Geral'!$B$1:$F$65,'Base de Dados P1'!$A16,FALSE)=0,,HLOOKUP(C$2,'Database Geral'!$B$1:$F$65,'Base de Dados P1'!$A16,FALSE)),"")</f>
        <v>9.0825899999999997</v>
      </c>
      <c r="D16" s="39">
        <f>IFERROR(IF(HLOOKUP(D$2,'Database Geral'!$B$1:$F$65,'Base de Dados P1'!$A16,FALSE)=0,,HLOOKUP(D$2,'Database Geral'!$B$1:$F$65,'Base de Dados P1'!$A16,FALSE)),"")</f>
        <v>10523.915406034161</v>
      </c>
      <c r="F16" s="41" t="s">
        <v>97</v>
      </c>
    </row>
    <row r="17" spans="1:6" x14ac:dyDescent="0.25">
      <c r="A17" s="33">
        <v>16</v>
      </c>
      <c r="B17" s="37" t="s">
        <v>14</v>
      </c>
      <c r="C17" s="38">
        <f>IFERROR(IF(HLOOKUP(C$2,'Database Geral'!$B$1:$F$65,'Base de Dados P1'!$A17,FALSE)=0,,HLOOKUP(C$2,'Database Geral'!$B$1:$F$65,'Base de Dados P1'!$A17,FALSE)),"")</f>
        <v>15.68234</v>
      </c>
      <c r="D17" s="39">
        <f>IFERROR(IF(HLOOKUP(D$2,'Database Geral'!$B$1:$F$65,'Base de Dados P1'!$A17,FALSE)=0,,HLOOKUP(D$2,'Database Geral'!$B$1:$F$65,'Base de Dados P1'!$A17,FALSE)),"")</f>
        <v>24852.373674759499</v>
      </c>
      <c r="F17" s="41" t="s">
        <v>88</v>
      </c>
    </row>
    <row r="18" spans="1:6" x14ac:dyDescent="0.25">
      <c r="A18" s="33">
        <v>17</v>
      </c>
      <c r="B18" s="37" t="s">
        <v>15</v>
      </c>
      <c r="C18" s="38">
        <f>IFERROR(IF(HLOOKUP(C$2,'Database Geral'!$B$1:$F$65,'Base de Dados P1'!$A18,FALSE)=0,,HLOOKUP(C$2,'Database Geral'!$B$1:$F$65,'Base de Dados P1'!$A18,FALSE)),"")</f>
        <v>9.7125000000000004</v>
      </c>
      <c r="D18" s="39">
        <f>IFERROR(IF(HLOOKUP(D$2,'Database Geral'!$B$1:$F$65,'Base de Dados P1'!$A18,FALSE)=0,,HLOOKUP(D$2,'Database Geral'!$B$1:$F$65,'Base de Dados P1'!$A18,FALSE)),"")</f>
        <v>14640.343169543186</v>
      </c>
      <c r="F18" s="41" t="s">
        <v>89</v>
      </c>
    </row>
    <row r="19" spans="1:6" x14ac:dyDescent="0.25">
      <c r="A19" s="33">
        <v>18</v>
      </c>
      <c r="B19" s="37" t="s">
        <v>16</v>
      </c>
      <c r="C19" s="38">
        <f>IFERROR(IF(HLOOKUP(C$2,'Database Geral'!$B$1:$F$65,'Base de Dados P1'!$A19,FALSE)=0,,HLOOKUP(C$2,'Database Geral'!$B$1:$F$65,'Base de Dados P1'!$A19,FALSE)),"")</f>
        <v>15.103339999999999</v>
      </c>
      <c r="D19" s="39">
        <f>IFERROR(IF(HLOOKUP(D$2,'Database Geral'!$B$1:$F$65,'Base de Dados P1'!$A19,FALSE)=0,,HLOOKUP(D$2,'Database Geral'!$B$1:$F$65,'Base de Dados P1'!$A19,FALSE)),"")</f>
        <v>47791.919518481714</v>
      </c>
      <c r="F19" s="41" t="s">
        <v>90</v>
      </c>
    </row>
    <row r="20" spans="1:6" x14ac:dyDescent="0.25">
      <c r="A20" s="33">
        <v>19</v>
      </c>
      <c r="B20" s="37" t="s">
        <v>17</v>
      </c>
      <c r="C20" s="38">
        <f>IFERROR(IF(HLOOKUP(C$2,'Database Geral'!$B$1:$F$65,'Base de Dados P1'!$A20,FALSE)=0,,HLOOKUP(C$2,'Database Geral'!$B$1:$F$65,'Base de Dados P1'!$A20,FALSE)),"")</f>
        <v>16.16422</v>
      </c>
      <c r="D20" s="39">
        <f>IFERROR(IF(HLOOKUP(D$2,'Database Geral'!$B$1:$F$65,'Base de Dados P1'!$A20,FALSE)=0,,HLOOKUP(D$2,'Database Geral'!$B$1:$F$65,'Base de Dados P1'!$A20,FALSE)),"")</f>
        <v>2949.6137287227111</v>
      </c>
      <c r="F20" s="41" t="s">
        <v>91</v>
      </c>
    </row>
    <row r="21" spans="1:6" x14ac:dyDescent="0.25">
      <c r="A21" s="33">
        <v>20</v>
      </c>
      <c r="B21" s="37" t="s">
        <v>18</v>
      </c>
      <c r="C21" s="38">
        <f>IFERROR(IF(HLOOKUP(C$2,'Database Geral'!$B$1:$F$65,'Base de Dados P1'!$A21,FALSE)=0,,HLOOKUP(C$2,'Database Geral'!$B$1:$F$65,'Base de Dados P1'!$A21,FALSE)),"")</f>
        <v>13.681800000000001</v>
      </c>
      <c r="D21" s="39">
        <f>IFERROR(IF(HLOOKUP(D$2,'Database Geral'!$B$1:$F$65,'Base de Dados P1'!$A21,FALSE)=0,,HLOOKUP(D$2,'Database Geral'!$B$1:$F$65,'Base de Dados P1'!$A21,FALSE)),"")</f>
        <v>10364.464126272213</v>
      </c>
      <c r="F21" s="41" t="s">
        <v>92</v>
      </c>
    </row>
    <row r="22" spans="1:6" x14ac:dyDescent="0.25">
      <c r="A22" s="33">
        <v>21</v>
      </c>
      <c r="B22" s="37" t="s">
        <v>19</v>
      </c>
      <c r="C22" s="38">
        <f>IFERROR(IF(HLOOKUP(C$2,'Database Geral'!$B$1:$F$65,'Base de Dados P1'!$A22,FALSE)=0,,HLOOKUP(C$2,'Database Geral'!$B$1:$F$65,'Base de Dados P1'!$A22,FALSE)),"")</f>
        <v>22.035820000000001</v>
      </c>
      <c r="D22" s="39">
        <f>IFERROR(IF(HLOOKUP(D$2,'Database Geral'!$B$1:$F$65,'Base de Dados P1'!$A22,FALSE)=0,,HLOOKUP(D$2,'Database Geral'!$B$1:$F$65,'Base de Dados P1'!$A22,FALSE)),"")</f>
        <v>238.63182187645808</v>
      </c>
      <c r="F22" s="41" t="s">
        <v>93</v>
      </c>
    </row>
    <row r="23" spans="1:6" x14ac:dyDescent="0.25">
      <c r="A23" s="33">
        <v>22</v>
      </c>
      <c r="B23" s="37" t="s">
        <v>20</v>
      </c>
      <c r="C23" s="38">
        <f>IFERROR(IF(HLOOKUP(C$2,'Database Geral'!$B$1:$F$65,'Base de Dados P1'!$A23,FALSE)=0,,HLOOKUP(C$2,'Database Geral'!$B$1:$F$65,'Base de Dados P1'!$A23,FALSE)),"")</f>
        <v>11.956110000000001</v>
      </c>
      <c r="D23" s="39">
        <f>IFERROR(IF(HLOOKUP(D$2,'Database Geral'!$B$1:$F$65,'Base de Dados P1'!$A23,FALSE)=0,,HLOOKUP(D$2,'Database Geral'!$B$1:$F$65,'Base de Dados P1'!$A23,FALSE)),"")</f>
        <v>39698.80530542905</v>
      </c>
      <c r="F23" s="41" t="s">
        <v>94</v>
      </c>
    </row>
    <row r="24" spans="1:6" x14ac:dyDescent="0.25">
      <c r="A24" s="33">
        <v>23</v>
      </c>
      <c r="B24" s="37" t="s">
        <v>21</v>
      </c>
      <c r="C24" s="38">
        <f>IFERROR(IF(HLOOKUP(C$2,'Database Geral'!$B$1:$F$65,'Base de Dados P1'!$A24,FALSE)=0,,HLOOKUP(C$2,'Database Geral'!$B$1:$F$65,'Base de Dados P1'!$A24,FALSE)),"")</f>
        <v>10.069129999999999</v>
      </c>
      <c r="D24" s="39">
        <f>IFERROR(IF(HLOOKUP(D$2,'Database Geral'!$B$1:$F$65,'Base de Dados P1'!$A24,FALSE)=0,,HLOOKUP(D$2,'Database Geral'!$B$1:$F$65,'Base de Dados P1'!$A24,FALSE)),"")</f>
        <v>35216.499562716868</v>
      </c>
      <c r="F24" s="41"/>
    </row>
    <row r="25" spans="1:6" x14ac:dyDescent="0.25">
      <c r="A25" s="33">
        <v>24</v>
      </c>
      <c r="B25" s="37" t="s">
        <v>22</v>
      </c>
      <c r="C25" s="38">
        <f>IFERROR(IF(HLOOKUP(C$2,'Database Geral'!$B$1:$F$65,'Base de Dados P1'!$A25,FALSE)=0,,HLOOKUP(C$2,'Database Geral'!$B$1:$F$65,'Base de Dados P1'!$A25,FALSE)),"")</f>
        <v>10.616580000000001</v>
      </c>
      <c r="D25" s="39">
        <f>IFERROR(IF(HLOOKUP(D$2,'Database Geral'!$B$1:$F$65,'Base de Dados P1'!$A25,FALSE)=0,,HLOOKUP(D$2,'Database Geral'!$B$1:$F$65,'Base de Dados P1'!$A25,FALSE)),"")</f>
        <v>37147.022169488737</v>
      </c>
    </row>
    <row r="26" spans="1:6" x14ac:dyDescent="0.25">
      <c r="A26" s="33">
        <v>25</v>
      </c>
      <c r="B26" s="37" t="s">
        <v>23</v>
      </c>
      <c r="C26" s="38">
        <f>IFERROR(IF(HLOOKUP(C$2,'Database Geral'!$B$1:$F$65,'Base de Dados P1'!$A26,FALSE)=0,,HLOOKUP(C$2,'Database Geral'!$B$1:$F$65,'Base de Dados P1'!$A26,FALSE)),"")</f>
        <v>21.244219999999999</v>
      </c>
      <c r="D26" s="39">
        <f>IFERROR(IF(HLOOKUP(D$2,'Database Geral'!$B$1:$F$65,'Base de Dados P1'!$A26,FALSE)=0,,HLOOKUP(D$2,'Database Geral'!$B$1:$F$65,'Base de Dados P1'!$A26,FALSE)),"")</f>
        <v>606.38421894599378</v>
      </c>
    </row>
    <row r="27" spans="1:6" x14ac:dyDescent="0.25">
      <c r="A27" s="33">
        <v>26</v>
      </c>
      <c r="B27" s="37" t="s">
        <v>24</v>
      </c>
      <c r="C27" s="38">
        <f>IFERROR(IF(HLOOKUP(C$2,'Database Geral'!$B$1:$F$65,'Base de Dados P1'!$A27,FALSE)=0,,HLOOKUP(C$2,'Database Geral'!$B$1:$F$65,'Base de Dados P1'!$A27,FALSE)),"")</f>
        <v>19.29692</v>
      </c>
      <c r="D27" s="39">
        <f>IFERROR(IF(HLOOKUP(D$2,'Database Geral'!$B$1:$F$65,'Base de Dados P1'!$A27,FALSE)=0,,HLOOKUP(D$2,'Database Geral'!$B$1:$F$65,'Base de Dados P1'!$A27,FALSE)),"")</f>
        <v>2270.0982681651722</v>
      </c>
    </row>
    <row r="28" spans="1:6" x14ac:dyDescent="0.25">
      <c r="A28" s="33">
        <v>27</v>
      </c>
      <c r="B28" s="37" t="s">
        <v>86</v>
      </c>
      <c r="C28" s="38">
        <f>IFERROR(IF(HLOOKUP(C$2,'Database Geral'!$B$1:$F$65,'Base de Dados P1'!$A28,FALSE)=0,,HLOOKUP(C$2,'Database Geral'!$B$1:$F$65,'Base de Dados P1'!$A28,FALSE)),"")</f>
        <v>19.909549999999999</v>
      </c>
      <c r="D28" s="39">
        <f>IFERROR(IF(HLOOKUP(D$2,'Database Geral'!$B$1:$F$65,'Base de Dados P1'!$A28,FALSE)=0,,HLOOKUP(D$2,'Database Geral'!$B$1:$F$65,'Base de Dados P1'!$A28,FALSE)),"")</f>
        <v>31328.375193366537</v>
      </c>
    </row>
    <row r="29" spans="1:6" x14ac:dyDescent="0.25">
      <c r="A29" s="33">
        <v>28</v>
      </c>
      <c r="B29" s="37" t="s">
        <v>26</v>
      </c>
      <c r="C29" s="38">
        <f>IFERROR(IF(HLOOKUP(C$2,'Database Geral'!$B$1:$F$65,'Base de Dados P1'!$A29,FALSE)=0,,HLOOKUP(C$2,'Database Geral'!$B$1:$F$65,'Base de Dados P1'!$A29,FALSE)),"")</f>
        <v>9.6849799999999995</v>
      </c>
      <c r="D29" s="39">
        <f>IFERROR(IF(HLOOKUP(D$2,'Database Geral'!$B$1:$F$65,'Base de Dados P1'!$A29,FALSE)=0,,HLOOKUP(D$2,'Database Geral'!$B$1:$F$65,'Base de Dados P1'!$A29,FALSE)),"")</f>
        <v>11108.89983126476</v>
      </c>
    </row>
    <row r="30" spans="1:6" x14ac:dyDescent="0.25">
      <c r="A30" s="33">
        <v>29</v>
      </c>
      <c r="B30" s="37" t="s">
        <v>27</v>
      </c>
      <c r="C30" s="38">
        <f>IFERROR(IF(HLOOKUP(C$2,'Database Geral'!$B$1:$F$65,'Base de Dados P1'!$A30,FALSE)=0,,HLOOKUP(C$2,'Database Geral'!$B$1:$F$65,'Base de Dados P1'!$A30,FALSE)),"")</f>
        <v>11.74278</v>
      </c>
      <c r="D30" s="39">
        <f>IFERROR(IF(HLOOKUP(D$2,'Database Geral'!$B$1:$F$65,'Base de Dados P1'!$A30,FALSE)=0,,HLOOKUP(D$2,'Database Geral'!$B$1:$F$65,'Base de Dados P1'!$A30,FALSE)),"")</f>
        <v>1031.5611346494393</v>
      </c>
    </row>
    <row r="31" spans="1:6" x14ac:dyDescent="0.25">
      <c r="A31" s="33">
        <v>30</v>
      </c>
      <c r="B31" s="37" t="s">
        <v>28</v>
      </c>
      <c r="C31" s="38">
        <f>IFERROR(IF(HLOOKUP(C$2,'Database Geral'!$B$1:$F$65,'Base de Dados P1'!$A31,FALSE)=0,,HLOOKUP(C$2,'Database Geral'!$B$1:$F$65,'Base de Dados P1'!$A31,FALSE)),"")</f>
        <v>9.2955100000000002</v>
      </c>
      <c r="D31" s="39">
        <f>IFERROR(IF(HLOOKUP(D$2,'Database Geral'!$B$1:$F$65,'Base de Dados P1'!$A31,FALSE)=0,,HLOOKUP(D$2,'Database Geral'!$B$1:$F$65,'Base de Dados P1'!$A31,FALSE)),"")</f>
        <v>46425.614155186842</v>
      </c>
    </row>
    <row r="32" spans="1:6" x14ac:dyDescent="0.25">
      <c r="A32" s="33">
        <v>31</v>
      </c>
      <c r="B32" s="37" t="s">
        <v>29</v>
      </c>
      <c r="C32" s="38">
        <f>IFERROR(IF(HLOOKUP(C$2,'Database Geral'!$B$1:$F$65,'Base de Dados P1'!$A32,FALSE)=0,,HLOOKUP(C$2,'Database Geral'!$B$1:$F$65,'Base de Dados P1'!$A32,FALSE)),"")</f>
        <v>13.259320000000001</v>
      </c>
      <c r="D32" s="39">
        <f>IFERROR(IF(HLOOKUP(D$2,'Database Geral'!$B$1:$F$65,'Base de Dados P1'!$A32,FALSE)=0,,HLOOKUP(D$2,'Database Geral'!$B$1:$F$65,'Base de Dados P1'!$A32,FALSE)),"")</f>
        <v>23225.415578371503</v>
      </c>
    </row>
    <row r="33" spans="1:4" x14ac:dyDescent="0.25">
      <c r="A33" s="33">
        <v>32</v>
      </c>
      <c r="B33" s="37" t="s">
        <v>30</v>
      </c>
      <c r="C33" s="38">
        <f>IFERROR(IF(HLOOKUP(C$2,'Database Geral'!$B$1:$F$65,'Base de Dados P1'!$A33,FALSE)=0,,HLOOKUP(C$2,'Database Geral'!$B$1:$F$65,'Base de Dados P1'!$A33,FALSE)),"")</f>
        <v>8.7239500000000003</v>
      </c>
      <c r="D33" s="39">
        <f>IFERROR(IF(HLOOKUP(D$2,'Database Geral'!$B$1:$F$65,'Base de Dados P1'!$A33,FALSE)=0,,HLOOKUP(D$2,'Database Geral'!$B$1:$F$65,'Base de Dados P1'!$A33,FALSE)),"")</f>
        <v>30788.538604195335</v>
      </c>
    </row>
    <row r="34" spans="1:4" x14ac:dyDescent="0.25">
      <c r="A34" s="33">
        <v>33</v>
      </c>
      <c r="B34" s="37" t="s">
        <v>31</v>
      </c>
      <c r="C34" s="38">
        <f>IFERROR(IF(HLOOKUP(C$2,'Database Geral'!$B$1:$F$65,'Base de Dados P1'!$A34,FALSE)=0,,HLOOKUP(C$2,'Database Geral'!$B$1:$F$65,'Base de Dados P1'!$A34,FALSE)),"")</f>
        <v>9.4575800000000001</v>
      </c>
      <c r="D34" s="39">
        <f>IFERROR(IF(HLOOKUP(D$2,'Database Geral'!$B$1:$F$65,'Base de Dados P1'!$A34,FALSE)=0,,HLOOKUP(D$2,'Database Geral'!$B$1:$F$65,'Base de Dados P1'!$A34,FALSE)),"")</f>
        <v>36296.315398505394</v>
      </c>
    </row>
    <row r="35" spans="1:4" x14ac:dyDescent="0.25">
      <c r="A35" s="33">
        <v>34</v>
      </c>
      <c r="B35" s="37" t="s">
        <v>32</v>
      </c>
      <c r="C35" s="38">
        <f>IFERROR(IF(HLOOKUP(C$2,'Database Geral'!$B$1:$F$65,'Base de Dados P1'!$A35,FALSE)=0,,HLOOKUP(C$2,'Database Geral'!$B$1:$F$65,'Base de Dados P1'!$A35,FALSE)),"")</f>
        <v>20.555990000000001</v>
      </c>
      <c r="D35" s="39">
        <f>IFERROR(IF(HLOOKUP(D$2,'Database Geral'!$B$1:$F$65,'Base de Dados P1'!$A35,FALSE)=0,,HLOOKUP(D$2,'Database Geral'!$B$1:$F$65,'Base de Dados P1'!$A35,FALSE)),"")</f>
        <v>584.9117306765213</v>
      </c>
    </row>
    <row r="36" spans="1:4" x14ac:dyDescent="0.25">
      <c r="A36" s="33">
        <v>35</v>
      </c>
      <c r="B36" s="37" t="s">
        <v>33</v>
      </c>
      <c r="C36" s="38">
        <f>IFERROR(IF(HLOOKUP(C$2,'Database Geral'!$B$1:$F$65,'Base de Dados P1'!$A36,FALSE)=0,,HLOOKUP(C$2,'Database Geral'!$B$1:$F$65,'Base de Dados P1'!$A36,FALSE)),"")</f>
        <v>15.684760000000001</v>
      </c>
      <c r="D36" s="39">
        <f>IFERROR(IF(HLOOKUP(D$2,'Database Geral'!$B$1:$F$65,'Base de Dados P1'!$A36,FALSE)=0,,HLOOKUP(D$2,'Database Geral'!$B$1:$F$65,'Base de Dados P1'!$A36,FALSE)),"")</f>
        <v>560.99913794067618</v>
      </c>
    </row>
    <row r="37" spans="1:4" x14ac:dyDescent="0.25">
      <c r="A37" s="33">
        <v>36</v>
      </c>
      <c r="B37" s="37" t="s">
        <v>34</v>
      </c>
      <c r="C37" s="38">
        <f>IFERROR(IF(HLOOKUP(C$2,'Database Geral'!$B$1:$F$65,'Base de Dados P1'!$A37,FALSE)=0,,HLOOKUP(C$2,'Database Geral'!$B$1:$F$65,'Base de Dados P1'!$A37,FALSE)),"")</f>
        <v>8.1226400000000005</v>
      </c>
      <c r="D37" s="39">
        <f>IFERROR(IF(HLOOKUP(D$2,'Database Geral'!$B$1:$F$65,'Base de Dados P1'!$A37,FALSE)=0,,HLOOKUP(D$2,'Database Geral'!$B$1:$F$65,'Base de Dados P1'!$A37,FALSE)),"")</f>
        <v>8058.7935491835151</v>
      </c>
    </row>
    <row r="38" spans="1:4" x14ac:dyDescent="0.25">
      <c r="A38" s="33">
        <v>37</v>
      </c>
      <c r="B38" s="37" t="s">
        <v>87</v>
      </c>
      <c r="C38" s="38">
        <f>IFERROR(IF(HLOOKUP(C$2,'Database Geral'!$B$1:$F$65,'Base de Dados P1'!$A38,FALSE)=0,,HLOOKUP(C$2,'Database Geral'!$B$1:$F$65,'Base de Dados P1'!$A38,FALSE)),"")</f>
        <v>15.67268</v>
      </c>
      <c r="D38" s="39">
        <f>IFERROR(IF(HLOOKUP(D$2,'Database Geral'!$B$1:$F$65,'Base de Dados P1'!$A38,FALSE)=0,,HLOOKUP(D$2,'Database Geral'!$B$1:$F$65,'Base de Dados P1'!$A38,FALSE)),"")</f>
        <v>38689.017214191299</v>
      </c>
    </row>
    <row r="39" spans="1:4" x14ac:dyDescent="0.25">
      <c r="A39" s="33">
        <v>38</v>
      </c>
      <c r="B39" s="37" t="s">
        <v>36</v>
      </c>
      <c r="C39" s="38">
        <f>IFERROR(IF(HLOOKUP(C$2,'Database Geral'!$B$1:$F$65,'Base de Dados P1'!$A39,FALSE)=0,,HLOOKUP(C$2,'Database Geral'!$B$1:$F$65,'Base de Dados P1'!$A39,FALSE)),"")</f>
        <v>18.406230000000001</v>
      </c>
      <c r="D39" s="39">
        <f>IFERROR(IF(HLOOKUP(D$2,'Database Geral'!$B$1:$F$65,'Base de Dados P1'!$A39,FALSE)=0,,HLOOKUP(D$2,'Database Geral'!$B$1:$F$65,'Base de Dados P1'!$A39,FALSE)),"")</f>
        <v>6319.003648503648</v>
      </c>
    </row>
    <row r="40" spans="1:4" x14ac:dyDescent="0.25">
      <c r="A40" s="33">
        <v>39</v>
      </c>
      <c r="B40" s="37" t="s">
        <v>37</v>
      </c>
      <c r="C40" s="38">
        <f>IFERROR(IF(HLOOKUP(C$2,'Database Geral'!$B$1:$F$65,'Base de Dados P1'!$A40,FALSE)=0,,HLOOKUP(C$2,'Database Geral'!$B$1:$F$65,'Base de Dados P1'!$A40,FALSE)),"")</f>
        <v>16.503910000000001</v>
      </c>
      <c r="D40" s="39">
        <f>IFERROR(IF(HLOOKUP(D$2,'Database Geral'!$B$1:$F$65,'Base de Dados P1'!$A40,FALSE)=0,,HLOOKUP(D$2,'Database Geral'!$B$1:$F$65,'Base de Dados P1'!$A40,FALSE)),"")</f>
        <v>498.47514814438102</v>
      </c>
    </row>
    <row r="41" spans="1:4" x14ac:dyDescent="0.25">
      <c r="A41" s="33">
        <v>40</v>
      </c>
      <c r="B41" s="37" t="s">
        <v>38</v>
      </c>
      <c r="C41" s="38">
        <f>IFERROR(IF(HLOOKUP(C$2,'Database Geral'!$B$1:$F$65,'Base de Dados P1'!$A41,FALSE)=0,,HLOOKUP(C$2,'Database Geral'!$B$1:$F$65,'Base de Dados P1'!$A41,FALSE)),"")</f>
        <v>15.73082</v>
      </c>
      <c r="D41" s="39">
        <f>IFERROR(IF(HLOOKUP(D$2,'Database Geral'!$B$1:$F$65,'Base de Dados P1'!$A41,FALSE)=0,,HLOOKUP(D$2,'Database Geral'!$B$1:$F$65,'Base de Dados P1'!$A41,FALSE)),"")</f>
        <v>16227.712111667724</v>
      </c>
    </row>
    <row r="42" spans="1:4" x14ac:dyDescent="0.25">
      <c r="A42" s="33">
        <v>41</v>
      </c>
      <c r="B42" s="37" t="s">
        <v>39</v>
      </c>
      <c r="C42" s="38">
        <f>IFERROR(IF(HLOOKUP(C$2,'Database Geral'!$B$1:$F$65,'Base de Dados P1'!$A42,FALSE)=0,,HLOOKUP(C$2,'Database Geral'!$B$1:$F$65,'Base de Dados P1'!$A42,FALSE)),"")</f>
        <v>19.319980000000001</v>
      </c>
      <c r="D42" s="39">
        <f>IFERROR(IF(HLOOKUP(D$2,'Database Geral'!$B$1:$F$65,'Base de Dados P1'!$A42,FALSE)=0,,HLOOKUP(D$2,'Database Geral'!$B$1:$F$65,'Base de Dados P1'!$A42,FALSE)),"")</f>
        <v>8084.6290001796442</v>
      </c>
    </row>
    <row r="43" spans="1:4" x14ac:dyDescent="0.25">
      <c r="A43" s="33">
        <v>42</v>
      </c>
      <c r="B43" s="37" t="s">
        <v>40</v>
      </c>
      <c r="C43" s="38">
        <f>IFERROR(IF(HLOOKUP(C$2,'Database Geral'!$B$1:$F$65,'Base de Dados P1'!$A43,FALSE)=0,,HLOOKUP(C$2,'Database Geral'!$B$1:$F$65,'Base de Dados P1'!$A43,FALSE)),"")</f>
        <v>22.336099999999998</v>
      </c>
      <c r="D43" s="39">
        <f>IFERROR(IF(HLOOKUP(D$2,'Database Geral'!$B$1:$F$65,'Base de Dados P1'!$A43,FALSE)=0,,HLOOKUP(D$2,'Database Geral'!$B$1:$F$65,'Base de Dados P1'!$A43,FALSE)),"")</f>
        <v>983.1659406832938</v>
      </c>
    </row>
    <row r="44" spans="1:4" x14ac:dyDescent="0.25">
      <c r="A44" s="33">
        <v>43</v>
      </c>
      <c r="B44" s="37" t="s">
        <v>41</v>
      </c>
      <c r="C44" s="38">
        <f>IFERROR(IF(HLOOKUP(C$2,'Database Geral'!$B$1:$F$65,'Base de Dados P1'!$A44,FALSE)=0,,HLOOKUP(C$2,'Database Geral'!$B$1:$F$65,'Base de Dados P1'!$A44,FALSE)),"")</f>
        <v>14.71114</v>
      </c>
      <c r="D44" s="39">
        <f>IFERROR(IF(HLOOKUP(D$2,'Database Geral'!$B$1:$F$65,'Base de Dados P1'!$A44,FALSE)=0,,HLOOKUP(D$2,'Database Geral'!$B$1:$F$65,'Base de Dados P1'!$A44,FALSE)),"")</f>
        <v>1273.2104024846064</v>
      </c>
    </row>
    <row r="45" spans="1:4" x14ac:dyDescent="0.25">
      <c r="A45" s="33">
        <v>44</v>
      </c>
      <c r="B45" s="37" t="s">
        <v>42</v>
      </c>
      <c r="C45" s="38">
        <f>IFERROR(IF(HLOOKUP(C$2,'Database Geral'!$B$1:$F$65,'Base de Dados P1'!$A45,FALSE)=0,,HLOOKUP(C$2,'Database Geral'!$B$1:$F$65,'Base de Dados P1'!$A45,FALSE)),"")</f>
        <v>26.193249999999999</v>
      </c>
      <c r="D45" s="39">
        <f>IFERROR(IF(HLOOKUP(D$2,'Database Geral'!$B$1:$F$65,'Base de Dados P1'!$A45,FALSE)=0,,HLOOKUP(D$2,'Database Geral'!$B$1:$F$65,'Base de Dados P1'!$A45,FALSE)),"")</f>
        <v>4149.9056475064735</v>
      </c>
    </row>
    <row r="46" spans="1:4" x14ac:dyDescent="0.25">
      <c r="A46" s="33">
        <v>45</v>
      </c>
      <c r="B46" s="37" t="s">
        <v>43</v>
      </c>
      <c r="C46" s="38">
        <f>IFERROR(IF(HLOOKUP(C$2,'Database Geral'!$B$1:$F$65,'Base de Dados P1'!$A46,FALSE)=0,,HLOOKUP(C$2,'Database Geral'!$B$1:$F$65,'Base de Dados P1'!$A46,FALSE)),"")</f>
        <v>20.81352</v>
      </c>
      <c r="D46" s="39">
        <f>IFERROR(IF(HLOOKUP(D$2,'Database Geral'!$B$1:$F$65,'Base de Dados P1'!$A46,FALSE)=0,,HLOOKUP(D$2,'Database Geral'!$B$1:$F$65,'Base de Dados P1'!$A46,FALSE)),"")</f>
        <v>376.34220962776061</v>
      </c>
    </row>
    <row r="47" spans="1:4" x14ac:dyDescent="0.25">
      <c r="A47" s="33">
        <v>46</v>
      </c>
      <c r="B47" s="37" t="s">
        <v>44</v>
      </c>
      <c r="C47" s="38">
        <f>IFERROR(IF(HLOOKUP(C$2,'Database Geral'!$B$1:$F$65,'Base de Dados P1'!$A47,FALSE)=0,,HLOOKUP(C$2,'Database Geral'!$B$1:$F$65,'Base de Dados P1'!$A47,FALSE)),"")</f>
        <v>11.52436</v>
      </c>
      <c r="D47" s="39">
        <f>IFERROR(IF(HLOOKUP(D$2,'Database Geral'!$B$1:$F$65,'Base de Dados P1'!$A47,FALSE)=0,,HLOOKUP(D$2,'Database Geral'!$B$1:$F$65,'Base de Dados P1'!$A47,FALSE)),"")</f>
        <v>43676.329041344754</v>
      </c>
    </row>
    <row r="48" spans="1:4" x14ac:dyDescent="0.25">
      <c r="A48" s="33">
        <v>47</v>
      </c>
      <c r="B48" s="37" t="s">
        <v>45</v>
      </c>
      <c r="C48" s="38">
        <f>IFERROR(IF(HLOOKUP(C$2,'Database Geral'!$B$1:$F$65,'Base de Dados P1'!$A48,FALSE)=0,,HLOOKUP(C$2,'Database Geral'!$B$1:$F$65,'Base de Dados P1'!$A48,FALSE)),"")</f>
        <v>15.30602</v>
      </c>
      <c r="D48" s="39">
        <f>IFERROR(IF(HLOOKUP(D$2,'Database Geral'!$B$1:$F$65,'Base de Dados P1'!$A48,FALSE)=0,,HLOOKUP(D$2,'Database Geral'!$B$1:$F$65,'Base de Dados P1'!$A48,FALSE)),"")</f>
        <v>66117.006972817806</v>
      </c>
    </row>
    <row r="49" spans="1:4" x14ac:dyDescent="0.25">
      <c r="A49" s="33">
        <v>48</v>
      </c>
      <c r="B49" s="37" t="s">
        <v>46</v>
      </c>
      <c r="C49" s="38">
        <f>IFERROR(IF(HLOOKUP(C$2,'Database Geral'!$B$1:$F$65,'Base de Dados P1'!$A49,FALSE)=0,,HLOOKUP(C$2,'Database Geral'!$B$1:$F$65,'Base de Dados P1'!$A49,FALSE)),"")</f>
        <v>11.108919999999999</v>
      </c>
      <c r="D49" s="39">
        <f>IFERROR(IF(HLOOKUP(D$2,'Database Geral'!$B$1:$F$65,'Base de Dados P1'!$A49,FALSE)=0,,HLOOKUP(D$2,'Database Geral'!$B$1:$F$65,'Base de Dados P1'!$A49,FALSE)),"")</f>
        <v>10066.293397443815</v>
      </c>
    </row>
    <row r="50" spans="1:4" x14ac:dyDescent="0.25">
      <c r="A50" s="33">
        <v>49</v>
      </c>
      <c r="B50" s="37" t="s">
        <v>47</v>
      </c>
      <c r="C50" s="38">
        <f>IFERROR(IF(HLOOKUP(C$2,'Database Geral'!$B$1:$F$65,'Base de Dados P1'!$A50,FALSE)=0,,HLOOKUP(C$2,'Database Geral'!$B$1:$F$65,'Base de Dados P1'!$A50,FALSE)),"")</f>
        <v>10.42656</v>
      </c>
      <c r="D50" s="39">
        <f>IFERROR(IF(HLOOKUP(D$2,'Database Geral'!$B$1:$F$65,'Base de Dados P1'!$A50,FALSE)=0,,HLOOKUP(D$2,'Database Geral'!$B$1:$F$65,'Base de Dados P1'!$A50,FALSE)),"")</f>
        <v>19240.681780251747</v>
      </c>
    </row>
    <row r="51" spans="1:4" x14ac:dyDescent="0.25">
      <c r="A51" s="33">
        <v>50</v>
      </c>
      <c r="B51" s="37" t="s">
        <v>48</v>
      </c>
      <c r="C51" s="38">
        <f>IFERROR(IF(HLOOKUP(C$2,'Database Geral'!$B$1:$F$65,'Base de Dados P1'!$A51,FALSE)=0,,HLOOKUP(C$2,'Database Geral'!$B$1:$F$65,'Base de Dados P1'!$A51,FALSE)),"")</f>
        <v>9.12913</v>
      </c>
      <c r="D51" s="39">
        <f>IFERROR(IF(HLOOKUP(D$2,'Database Geral'!$B$1:$F$65,'Base de Dados P1'!$A51,FALSE)=0,,HLOOKUP(D$2,'Database Geral'!$B$1:$F$65,'Base de Dados P1'!$A51,FALSE)),"")</f>
        <v>5634.8940223347727</v>
      </c>
    </row>
    <row r="52" spans="1:4" x14ac:dyDescent="0.25">
      <c r="A52" s="33">
        <v>51</v>
      </c>
      <c r="B52" s="37" t="s">
        <v>49</v>
      </c>
      <c r="C52" s="38">
        <f>IFERROR(IF(HLOOKUP(C$2,'Database Geral'!$B$1:$F$65,'Base de Dados P1'!$A52,FALSE)=0,,HLOOKUP(C$2,'Database Geral'!$B$1:$F$65,'Base de Dados P1'!$A52,FALSE)),"")</f>
        <v>20.723179999999999</v>
      </c>
      <c r="D52" s="39">
        <f>IFERROR(IF(HLOOKUP(D$2,'Database Geral'!$B$1:$F$65,'Base de Dados P1'!$A52,FALSE)=0,,HLOOKUP(D$2,'Database Geral'!$B$1:$F$65,'Base de Dados P1'!$A52,FALSE)),"")</f>
        <v>800.43110309938504</v>
      </c>
    </row>
    <row r="53" spans="1:4" x14ac:dyDescent="0.25">
      <c r="A53" s="33">
        <v>52</v>
      </c>
      <c r="B53" s="37" t="s">
        <v>50</v>
      </c>
      <c r="C53" s="38">
        <f>IFERROR(IF(HLOOKUP(C$2,'Database Geral'!$B$1:$F$65,'Base de Dados P1'!$A53,FALSE)=0,,HLOOKUP(C$2,'Database Geral'!$B$1:$F$65,'Base de Dados P1'!$A53,FALSE)),"")</f>
        <v>10.51355</v>
      </c>
      <c r="D53" s="39">
        <f>IFERROR(IF(HLOOKUP(D$2,'Database Geral'!$B$1:$F$65,'Base de Dados P1'!$A53,FALSE)=0,,HLOOKUP(D$2,'Database Geral'!$B$1:$F$65,'Base de Dados P1'!$A53,FALSE)),"")</f>
        <v>4106.5704446375339</v>
      </c>
    </row>
    <row r="54" spans="1:4" x14ac:dyDescent="0.25">
      <c r="A54" s="33">
        <v>53</v>
      </c>
      <c r="B54" s="37" t="s">
        <v>51</v>
      </c>
      <c r="C54" s="38">
        <f>IFERROR(IF(HLOOKUP(C$2,'Database Geral'!$B$1:$F$65,'Base de Dados P1'!$A54,FALSE)=0,,HLOOKUP(C$2,'Database Geral'!$B$1:$F$65,'Base de Dados P1'!$A54,FALSE)),"")</f>
        <v>16.55659</v>
      </c>
      <c r="D54" s="39">
        <f>IFERROR(IF(HLOOKUP(D$2,'Database Geral'!$B$1:$F$65,'Base de Dados P1'!$A54,FALSE)=0,,HLOOKUP(D$2,'Database Geral'!$B$1:$F$65,'Base de Dados P1'!$A54,FALSE)),"")</f>
        <v>34758.404334915271</v>
      </c>
    </row>
    <row r="55" spans="1:4" x14ac:dyDescent="0.25">
      <c r="A55" s="33">
        <v>54</v>
      </c>
      <c r="B55" s="37" t="s">
        <v>52</v>
      </c>
      <c r="C55" s="38">
        <f>IFERROR(IF(HLOOKUP(C$2,'Database Geral'!$B$1:$F$65,'Base de Dados P1'!$A55,FALSE)=0,,HLOOKUP(C$2,'Database Geral'!$B$1:$F$65,'Base de Dados P1'!$A55,FALSE)),"")</f>
        <v>9.8575300000000006</v>
      </c>
      <c r="D55" s="39">
        <f>IFERROR(IF(HLOOKUP(D$2,'Database Geral'!$B$1:$F$65,'Base de Dados P1'!$A55,FALSE)=0,,HLOOKUP(D$2,'Database Geral'!$B$1:$F$65,'Base de Dados P1'!$A55,FALSE)),"")</f>
        <v>14582.836060850364</v>
      </c>
    </row>
    <row r="56" spans="1:4" x14ac:dyDescent="0.25">
      <c r="A56" s="33">
        <v>55</v>
      </c>
      <c r="B56" s="37" t="s">
        <v>53</v>
      </c>
      <c r="C56" s="38">
        <f>IFERROR(IF(HLOOKUP(C$2,'Database Geral'!$B$1:$F$65,'Base de Dados P1'!$A56,FALSE)=0,,HLOOKUP(C$2,'Database Geral'!$B$1:$F$65,'Base de Dados P1'!$A56,FALSE)),"")</f>
        <v>12.08019</v>
      </c>
      <c r="D56" s="39">
        <f>IFERROR(IF(HLOOKUP(D$2,'Database Geral'!$B$1:$F$65,'Base de Dados P1'!$A56,FALSE)=0,,HLOOKUP(D$2,'Database Geral'!$B$1:$F$65,'Base de Dados P1'!$A56,FALSE)),"")</f>
        <v>19327.423693832985</v>
      </c>
    </row>
    <row r="57" spans="1:4" x14ac:dyDescent="0.25">
      <c r="A57" s="33">
        <v>56</v>
      </c>
      <c r="B57" s="37" t="s">
        <v>54</v>
      </c>
      <c r="C57" s="38">
        <f>IFERROR(IF(HLOOKUP(C$2,'Database Geral'!$B$1:$F$65,'Base de Dados P1'!$A57,FALSE)=0,,HLOOKUP(C$2,'Database Geral'!$B$1:$F$65,'Base de Dados P1'!$A57,FALSE)),"")</f>
        <v>18.044370000000001</v>
      </c>
      <c r="D57" s="39">
        <f>IFERROR(IF(HLOOKUP(D$2,'Database Geral'!$B$1:$F$65,'Base de Dados P1'!$A57,FALSE)=0,,HLOOKUP(D$2,'Database Geral'!$B$1:$F$65,'Base de Dados P1'!$A57,FALSE)),"")</f>
        <v>5910.668523021287</v>
      </c>
    </row>
    <row r="58" spans="1:4" x14ac:dyDescent="0.25">
      <c r="A58" s="33">
        <v>57</v>
      </c>
      <c r="B58" s="37" t="s">
        <v>55</v>
      </c>
      <c r="C58" s="38">
        <f>IFERROR(IF(HLOOKUP(C$2,'Database Geral'!$B$1:$F$65,'Base de Dados P1'!$A58,FALSE)=0,,HLOOKUP(C$2,'Database Geral'!$B$1:$F$65,'Base de Dados P1'!$A58,FALSE)),"")</f>
        <v>10.563980000000001</v>
      </c>
      <c r="D58" s="39">
        <f>IFERROR(IF(HLOOKUP(D$2,'Database Geral'!$B$1:$F$65,'Base de Dados P1'!$A58,FALSE)=0,,HLOOKUP(D$2,'Database Geral'!$B$1:$F$65,'Base de Dados P1'!$A58,FALSE)),"")</f>
        <v>26191.985807810932</v>
      </c>
    </row>
    <row r="59" spans="1:4" x14ac:dyDescent="0.25">
      <c r="A59" s="33">
        <v>58</v>
      </c>
      <c r="B59" s="37" t="s">
        <v>56</v>
      </c>
      <c r="C59" s="38">
        <f>IFERROR(IF(HLOOKUP(C$2,'Database Geral'!$B$1:$F$65,'Base de Dados P1'!$A59,FALSE)=0,,HLOOKUP(C$2,'Database Geral'!$B$1:$F$65,'Base de Dados P1'!$A59,FALSE)),"")</f>
        <v>8.6056600000000003</v>
      </c>
      <c r="D59" s="39">
        <f>IFERROR(IF(HLOOKUP(D$2,'Database Geral'!$B$1:$F$65,'Base de Dados P1'!$A59,FALSE)=0,,HLOOKUP(D$2,'Database Geral'!$B$1:$F$65,'Base de Dados P1'!$A59,FALSE)),"")</f>
        <v>1610.1160513802852</v>
      </c>
    </row>
    <row r="60" spans="1:4" x14ac:dyDescent="0.25">
      <c r="A60" s="33">
        <v>59</v>
      </c>
      <c r="B60" s="37" t="s">
        <v>57</v>
      </c>
      <c r="C60" s="38">
        <f>IFERROR(IF(HLOOKUP(C$2,'Database Geral'!$B$1:$F$65,'Base de Dados P1'!$A60,FALSE)=0,,HLOOKUP(C$2,'Database Geral'!$B$1:$F$65,'Base de Dados P1'!$A60,FALSE)),"")</f>
        <v>13.34554</v>
      </c>
      <c r="D60" s="39">
        <f>IFERROR(IF(HLOOKUP(D$2,'Database Geral'!$B$1:$F$65,'Base de Dados P1'!$A60,FALSE)=0,,HLOOKUP(D$2,'Database Geral'!$B$1:$F$65,'Base de Dados P1'!$A60,FALSE)),"")</f>
        <v>44877.910174216042</v>
      </c>
    </row>
    <row r="61" spans="1:4" x14ac:dyDescent="0.25">
      <c r="A61" s="33">
        <v>60</v>
      </c>
      <c r="B61" s="37" t="s">
        <v>58</v>
      </c>
      <c r="C61" s="38">
        <f>IFERROR(IF(HLOOKUP(C$2,'Database Geral'!$B$1:$F$65,'Base de Dados P1'!$A61,FALSE)=0,,HLOOKUP(C$2,'Database Geral'!$B$1:$F$65,'Base de Dados P1'!$A61,FALSE)),"")</f>
        <v>15.33145</v>
      </c>
      <c r="D61" s="39">
        <f>IFERROR(IF(HLOOKUP(D$2,'Database Geral'!$B$1:$F$65,'Base de Dados P1'!$A61,FALSE)=0,,HLOOKUP(D$2,'Database Geral'!$B$1:$F$65,'Base de Dados P1'!$A61,FALSE)),"")</f>
        <v>417.11051385520199</v>
      </c>
    </row>
    <row r="62" spans="1:4" x14ac:dyDescent="0.25">
      <c r="A62" s="33">
        <v>61</v>
      </c>
      <c r="B62" s="37" t="s">
        <v>59</v>
      </c>
      <c r="C62" s="38">
        <f>IFERROR(IF(HLOOKUP(C$2,'Database Geral'!$B$1:$F$65,'Base de Dados P1'!$A62,FALSE)=0,,HLOOKUP(C$2,'Database Geral'!$B$1:$F$65,'Base de Dados P1'!$A62,FALSE)),"")</f>
        <v>19.648009999999999</v>
      </c>
      <c r="D62" s="39">
        <f>IFERROR(IF(HLOOKUP(D$2,'Database Geral'!$B$1:$F$65,'Base de Dados P1'!$A62,FALSE)=0,,HLOOKUP(D$2,'Database Geral'!$B$1:$F$65,'Base de Dados P1'!$A62,FALSE)),"")</f>
        <v>520.69181227892</v>
      </c>
    </row>
    <row r="63" spans="1:4" x14ac:dyDescent="0.25">
      <c r="A63" s="33">
        <v>62</v>
      </c>
      <c r="B63" s="37" t="s">
        <v>60</v>
      </c>
      <c r="C63" s="38">
        <f>IFERROR(IF(HLOOKUP(C$2,'Database Geral'!$B$1:$F$65,'Base de Dados P1'!$A63,FALSE)=0,,HLOOKUP(C$2,'Database Geral'!$B$1:$F$65,'Base de Dados P1'!$A63,FALSE)),"")</f>
        <v>19.615760000000002</v>
      </c>
      <c r="D63" s="39">
        <f>IFERROR(IF(HLOOKUP(D$2,'Database Geral'!$B$1:$F$65,'Base de Dados P1'!$A63,FALSE)=0,,HLOOKUP(D$2,'Database Geral'!$B$1:$F$65,'Base de Dados P1'!$A63,FALSE)),"")</f>
        <v>392.85505648182601</v>
      </c>
    </row>
    <row r="64" spans="1:4" x14ac:dyDescent="0.25">
      <c r="A64" s="33">
        <v>63</v>
      </c>
      <c r="B64" s="37" t="s">
        <v>61</v>
      </c>
      <c r="C64" s="38">
        <f>IFERROR(IF(HLOOKUP(C$2,'Database Geral'!$B$1:$F$65,'Base de Dados P1'!$A64,FALSE)=0,,HLOOKUP(C$2,'Database Geral'!$B$1:$F$65,'Base de Dados P1'!$A64,FALSE)),"")</f>
        <v>13.517569999999999</v>
      </c>
      <c r="D64" s="39">
        <f>IFERROR(IF(HLOOKUP(D$2,'Database Geral'!$B$1:$F$65,'Base de Dados P1'!$A64,FALSE)=0,,HLOOKUP(D$2,'Database Geral'!$B$1:$F$65,'Base de Dados P1'!$A64,FALSE)),"")</f>
        <v>390.58213659556606</v>
      </c>
    </row>
    <row r="65" spans="1:4" x14ac:dyDescent="0.25">
      <c r="A65" s="33">
        <v>64</v>
      </c>
      <c r="B65" s="37" t="s">
        <v>62</v>
      </c>
      <c r="C65" s="38">
        <f>IFERROR(IF(HLOOKUP(C$2,'Database Geral'!$B$1:$F$65,'Base de Dados P1'!$A65,FALSE)=0,,HLOOKUP(C$2,'Database Geral'!$B$1:$F$65,'Base de Dados P1'!$A65,FALSE)),"")</f>
        <v>12.960369999999999</v>
      </c>
      <c r="D65" s="39">
        <f>IFERROR(IF(HLOOKUP(D$2,'Database Geral'!$B$1:$F$65,'Base de Dados P1'!$A65,FALSE)=0,,HLOOKUP(D$2,'Database Geral'!$B$1:$F$65,'Base de Dados P1'!$A65,FALSE)),"")</f>
        <v>39471.731251428864</v>
      </c>
    </row>
    <row r="66" spans="1:4" ht="16.5" thickBot="1" x14ac:dyDescent="0.3">
      <c r="A66" s="42">
        <v>65</v>
      </c>
      <c r="B66" s="43" t="s">
        <v>63</v>
      </c>
      <c r="C66" s="44">
        <f>IFERROR(IF(HLOOKUP(C$2,'Database Geral'!$B$1:$F$65,'Base de Dados P1'!$A66,FALSE)=0,,HLOOKUP(C$2,'Database Geral'!$B$1:$F$65,'Base de Dados P1'!$A66,FALSE)),"")</f>
        <v>13.037570000000001</v>
      </c>
      <c r="D66" s="45">
        <f>IFERROR(IF(HLOOKUP(D$2,'Database Geral'!$B$1:$F$65,'Base de Dados P1'!$A66,FALSE)=0,,HLOOKUP(D$2,'Database Geral'!$B$1:$F$65,'Base de Dados P1'!$A66,FALSE)),"")</f>
        <v>43961.168507253649</v>
      </c>
    </row>
    <row r="67" spans="1:4" hidden="1" x14ac:dyDescent="0.25">
      <c r="B67" s="46"/>
    </row>
    <row r="68" spans="1:4" hidden="1" x14ac:dyDescent="0.25">
      <c r="B68" s="46"/>
    </row>
    <row r="69" spans="1:4" hidden="1" x14ac:dyDescent="0.25">
      <c r="B69" s="46"/>
    </row>
    <row r="70" spans="1:4" hidden="1" x14ac:dyDescent="0.25">
      <c r="B70" s="46"/>
    </row>
    <row r="71" spans="1:4" hidden="1" x14ac:dyDescent="0.25">
      <c r="B71" s="46"/>
    </row>
    <row r="72" spans="1:4" hidden="1" x14ac:dyDescent="0.25">
      <c r="B72" s="46"/>
    </row>
    <row r="73" spans="1:4" hidden="1" x14ac:dyDescent="0.25">
      <c r="B73" s="46"/>
    </row>
    <row r="74" spans="1:4" hidden="1" x14ac:dyDescent="0.25">
      <c r="B74" s="46"/>
    </row>
    <row r="75" spans="1:4" hidden="1" x14ac:dyDescent="0.25">
      <c r="B75" s="46"/>
    </row>
    <row r="76" spans="1:4" hidden="1" x14ac:dyDescent="0.25">
      <c r="B76" s="46"/>
    </row>
    <row r="77" spans="1:4" hidden="1" x14ac:dyDescent="0.25">
      <c r="B77" s="46"/>
    </row>
    <row r="78" spans="1:4" hidden="1" x14ac:dyDescent="0.25">
      <c r="B78" s="46"/>
    </row>
    <row r="79" spans="1:4" hidden="1" x14ac:dyDescent="0.25">
      <c r="B79" s="46"/>
    </row>
    <row r="80" spans="1:4" hidden="1" x14ac:dyDescent="0.25">
      <c r="B80" s="46"/>
    </row>
    <row r="81" spans="2:2" hidden="1" x14ac:dyDescent="0.25">
      <c r="B81" s="46"/>
    </row>
    <row r="82" spans="2:2" hidden="1" x14ac:dyDescent="0.25">
      <c r="B82" s="46"/>
    </row>
    <row r="83" spans="2:2" hidden="1" x14ac:dyDescent="0.25">
      <c r="B83" s="46"/>
    </row>
    <row r="84" spans="2:2" hidden="1" x14ac:dyDescent="0.25">
      <c r="B84" s="46"/>
    </row>
    <row r="85" spans="2:2" hidden="1" x14ac:dyDescent="0.25">
      <c r="B85" s="46"/>
    </row>
    <row r="86" spans="2:2" hidden="1" x14ac:dyDescent="0.25">
      <c r="B86" s="46"/>
    </row>
    <row r="87" spans="2:2" hidden="1" x14ac:dyDescent="0.25">
      <c r="B87" s="46"/>
    </row>
    <row r="88" spans="2:2" hidden="1" x14ac:dyDescent="0.25">
      <c r="B88" s="46"/>
    </row>
    <row r="89" spans="2:2" hidden="1" x14ac:dyDescent="0.25">
      <c r="B89" s="46"/>
    </row>
    <row r="90" spans="2:2" hidden="1" x14ac:dyDescent="0.25">
      <c r="B90" s="46"/>
    </row>
    <row r="91" spans="2:2" hidden="1" x14ac:dyDescent="0.25">
      <c r="B91" s="46"/>
    </row>
    <row r="92" spans="2:2" hidden="1" x14ac:dyDescent="0.25">
      <c r="B92" s="46"/>
    </row>
    <row r="93" spans="2:2" hidden="1" x14ac:dyDescent="0.25">
      <c r="B93" s="46"/>
    </row>
    <row r="94" spans="2:2" hidden="1" x14ac:dyDescent="0.25">
      <c r="B94" s="46"/>
    </row>
    <row r="95" spans="2:2" hidden="1" x14ac:dyDescent="0.25">
      <c r="B95" s="46"/>
    </row>
    <row r="96" spans="2:2" hidden="1" x14ac:dyDescent="0.25">
      <c r="B96" s="46"/>
    </row>
    <row r="97" spans="2:2" hidden="1" x14ac:dyDescent="0.25">
      <c r="B97" s="46"/>
    </row>
    <row r="98" spans="2:2" hidden="1" x14ac:dyDescent="0.25">
      <c r="B98" s="46"/>
    </row>
    <row r="99" spans="2:2" hidden="1" x14ac:dyDescent="0.25">
      <c r="B99" s="46"/>
    </row>
    <row r="100" spans="2:2" hidden="1" x14ac:dyDescent="0.25">
      <c r="B100" s="46"/>
    </row>
    <row r="101" spans="2:2" hidden="1" x14ac:dyDescent="0.25">
      <c r="B101" s="46"/>
    </row>
    <row r="102" spans="2:2" hidden="1" x14ac:dyDescent="0.25">
      <c r="B102" s="46"/>
    </row>
    <row r="103" spans="2:2" hidden="1" x14ac:dyDescent="0.25">
      <c r="B103" s="46"/>
    </row>
    <row r="104" spans="2:2" hidden="1" x14ac:dyDescent="0.25">
      <c r="B104" s="46"/>
    </row>
    <row r="105" spans="2:2" hidden="1" x14ac:dyDescent="0.25">
      <c r="B105" s="46"/>
    </row>
    <row r="106" spans="2:2" hidden="1" x14ac:dyDescent="0.25">
      <c r="B106" s="46"/>
    </row>
    <row r="107" spans="2:2" hidden="1" x14ac:dyDescent="0.25">
      <c r="B107" s="46"/>
    </row>
    <row r="108" spans="2:2" hidden="1" x14ac:dyDescent="0.25">
      <c r="B108" s="46"/>
    </row>
    <row r="109" spans="2:2" hidden="1" x14ac:dyDescent="0.25">
      <c r="B109" s="46"/>
    </row>
    <row r="110" spans="2:2" hidden="1" x14ac:dyDescent="0.25">
      <c r="B110" s="46"/>
    </row>
    <row r="111" spans="2:2" hidden="1" x14ac:dyDescent="0.25">
      <c r="B111" s="46"/>
    </row>
    <row r="112" spans="2:2" hidden="1" x14ac:dyDescent="0.25">
      <c r="B112" s="46"/>
    </row>
    <row r="113" spans="2:2" hidden="1" x14ac:dyDescent="0.25">
      <c r="B113" s="46"/>
    </row>
    <row r="114" spans="2:2" hidden="1" x14ac:dyDescent="0.25">
      <c r="B114" s="46"/>
    </row>
    <row r="115" spans="2:2" hidden="1" x14ac:dyDescent="0.25">
      <c r="B115" s="46"/>
    </row>
    <row r="116" spans="2:2" hidden="1" x14ac:dyDescent="0.25">
      <c r="B116" s="46"/>
    </row>
    <row r="117" spans="2:2" hidden="1" x14ac:dyDescent="0.25">
      <c r="B117" s="46"/>
    </row>
    <row r="118" spans="2:2" hidden="1" x14ac:dyDescent="0.25">
      <c r="B118" s="46"/>
    </row>
    <row r="119" spans="2:2" hidden="1" x14ac:dyDescent="0.25">
      <c r="B119" s="46"/>
    </row>
    <row r="120" spans="2:2" hidden="1" x14ac:dyDescent="0.25">
      <c r="B120" s="46"/>
    </row>
    <row r="121" spans="2:2" hidden="1" x14ac:dyDescent="0.25">
      <c r="B121" s="46"/>
    </row>
    <row r="122" spans="2:2" hidden="1" x14ac:dyDescent="0.25">
      <c r="B122" s="46"/>
    </row>
    <row r="123" spans="2:2" hidden="1" x14ac:dyDescent="0.25">
      <c r="B123" s="46"/>
    </row>
    <row r="124" spans="2:2" hidden="1" x14ac:dyDescent="0.25">
      <c r="B124" s="46"/>
    </row>
    <row r="125" spans="2:2" hidden="1" x14ac:dyDescent="0.25">
      <c r="B125" s="46"/>
    </row>
    <row r="126" spans="2:2" hidden="1" x14ac:dyDescent="0.25">
      <c r="B126" s="46"/>
    </row>
    <row r="127" spans="2:2" hidden="1" x14ac:dyDescent="0.25">
      <c r="B127" s="46"/>
    </row>
    <row r="128" spans="2:2" hidden="1" x14ac:dyDescent="0.25">
      <c r="B128" s="46"/>
    </row>
    <row r="129" spans="2:2" hidden="1" x14ac:dyDescent="0.25">
      <c r="B129" s="46"/>
    </row>
    <row r="130" spans="2:2" hidden="1" x14ac:dyDescent="0.25">
      <c r="B130" s="46"/>
    </row>
    <row r="131" spans="2:2" hidden="1" x14ac:dyDescent="0.25">
      <c r="B131" s="46"/>
    </row>
    <row r="132" spans="2:2" hidden="1" x14ac:dyDescent="0.25">
      <c r="B132" s="46"/>
    </row>
    <row r="133" spans="2:2" hidden="1" x14ac:dyDescent="0.25">
      <c r="B133" s="46"/>
    </row>
    <row r="134" spans="2:2" hidden="1" x14ac:dyDescent="0.25">
      <c r="B134" s="46"/>
    </row>
    <row r="135" spans="2:2" hidden="1" x14ac:dyDescent="0.25">
      <c r="B135" s="46"/>
    </row>
    <row r="136" spans="2:2" hidden="1" x14ac:dyDescent="0.25">
      <c r="B136" s="46"/>
    </row>
    <row r="137" spans="2:2" hidden="1" x14ac:dyDescent="0.25">
      <c r="B137" s="46"/>
    </row>
    <row r="138" spans="2:2" hidden="1" x14ac:dyDescent="0.25">
      <c r="B138" s="46"/>
    </row>
    <row r="139" spans="2:2" hidden="1" x14ac:dyDescent="0.25">
      <c r="B139" s="46"/>
    </row>
    <row r="140" spans="2:2" hidden="1" x14ac:dyDescent="0.25">
      <c r="B140" s="46"/>
    </row>
    <row r="141" spans="2:2" hidden="1" x14ac:dyDescent="0.25">
      <c r="B141" s="46"/>
    </row>
    <row r="142" spans="2:2" hidden="1" x14ac:dyDescent="0.25">
      <c r="B142" s="46"/>
    </row>
    <row r="143" spans="2:2" hidden="1" x14ac:dyDescent="0.25">
      <c r="B143" s="46"/>
    </row>
    <row r="144" spans="2:2" hidden="1" x14ac:dyDescent="0.25">
      <c r="B144" s="46"/>
    </row>
    <row r="145" spans="2:2" hidden="1" x14ac:dyDescent="0.25">
      <c r="B145" s="46"/>
    </row>
    <row r="146" spans="2:2" hidden="1" x14ac:dyDescent="0.25">
      <c r="B146" s="46"/>
    </row>
    <row r="147" spans="2:2" hidden="1" x14ac:dyDescent="0.25">
      <c r="B147" s="46"/>
    </row>
    <row r="148" spans="2:2" hidden="1" x14ac:dyDescent="0.25">
      <c r="B148" s="46"/>
    </row>
    <row r="149" spans="2:2" hidden="1" x14ac:dyDescent="0.25">
      <c r="B149" s="46"/>
    </row>
    <row r="150" spans="2:2" hidden="1" x14ac:dyDescent="0.25">
      <c r="B150" s="46"/>
    </row>
    <row r="151" spans="2:2" hidden="1" x14ac:dyDescent="0.25">
      <c r="B151" s="46"/>
    </row>
    <row r="152" spans="2:2" hidden="1" x14ac:dyDescent="0.25">
      <c r="B152" s="46"/>
    </row>
    <row r="153" spans="2:2" hidden="1" x14ac:dyDescent="0.25">
      <c r="B153" s="46"/>
    </row>
    <row r="154" spans="2:2" hidden="1" x14ac:dyDescent="0.25">
      <c r="B154" s="46"/>
    </row>
    <row r="155" spans="2:2" hidden="1" x14ac:dyDescent="0.25">
      <c r="B155" s="46"/>
    </row>
    <row r="156" spans="2:2" hidden="1" x14ac:dyDescent="0.25">
      <c r="B156" s="46"/>
    </row>
    <row r="157" spans="2:2" hidden="1" x14ac:dyDescent="0.25">
      <c r="B157" s="46"/>
    </row>
    <row r="158" spans="2:2" hidden="1" x14ac:dyDescent="0.25">
      <c r="B158" s="46"/>
    </row>
    <row r="159" spans="2:2" hidden="1" x14ac:dyDescent="0.25">
      <c r="B159" s="46"/>
    </row>
    <row r="160" spans="2:2" hidden="1" x14ac:dyDescent="0.25">
      <c r="B160" s="46"/>
    </row>
    <row r="161" spans="2:2" hidden="1" x14ac:dyDescent="0.25">
      <c r="B161" s="46"/>
    </row>
    <row r="162" spans="2:2" hidden="1" x14ac:dyDescent="0.25">
      <c r="B162" s="46"/>
    </row>
    <row r="163" spans="2:2" hidden="1" x14ac:dyDescent="0.25">
      <c r="B163" s="46"/>
    </row>
    <row r="164" spans="2:2" hidden="1" x14ac:dyDescent="0.25">
      <c r="B164" s="46"/>
    </row>
    <row r="165" spans="2:2" hidden="1" x14ac:dyDescent="0.25">
      <c r="B165" s="46"/>
    </row>
    <row r="166" spans="2:2" hidden="1" x14ac:dyDescent="0.25">
      <c r="B166" s="46"/>
    </row>
    <row r="167" spans="2:2" hidden="1" x14ac:dyDescent="0.25">
      <c r="B167" s="46"/>
    </row>
    <row r="168" spans="2:2" hidden="1" x14ac:dyDescent="0.25">
      <c r="B168" s="46"/>
    </row>
    <row r="169" spans="2:2" hidden="1" x14ac:dyDescent="0.25">
      <c r="B169" s="46"/>
    </row>
    <row r="170" spans="2:2" hidden="1" x14ac:dyDescent="0.25">
      <c r="B170" s="46"/>
    </row>
    <row r="171" spans="2:2" hidden="1" x14ac:dyDescent="0.25">
      <c r="B171" s="46"/>
    </row>
    <row r="172" spans="2:2" hidden="1" x14ac:dyDescent="0.25">
      <c r="B172" s="46"/>
    </row>
    <row r="173" spans="2:2" hidden="1" x14ac:dyDescent="0.25">
      <c r="B173" s="46"/>
    </row>
    <row r="174" spans="2:2" hidden="1" x14ac:dyDescent="0.25">
      <c r="B174" s="46"/>
    </row>
    <row r="175" spans="2:2" hidden="1" x14ac:dyDescent="0.25">
      <c r="B175" s="46"/>
    </row>
    <row r="176" spans="2:2" hidden="1" x14ac:dyDescent="0.25">
      <c r="B176" s="46"/>
    </row>
    <row r="177" spans="2:2" hidden="1" x14ac:dyDescent="0.25">
      <c r="B177" s="46"/>
    </row>
    <row r="178" spans="2:2" hidden="1" x14ac:dyDescent="0.25">
      <c r="B178" s="46"/>
    </row>
    <row r="179" spans="2:2" hidden="1" x14ac:dyDescent="0.25">
      <c r="B179" s="46"/>
    </row>
    <row r="180" spans="2:2" hidden="1" x14ac:dyDescent="0.25">
      <c r="B180" s="46"/>
    </row>
    <row r="181" spans="2:2" hidden="1" x14ac:dyDescent="0.25">
      <c r="B181" s="46"/>
    </row>
    <row r="182" spans="2:2" hidden="1" x14ac:dyDescent="0.25">
      <c r="B182" s="46"/>
    </row>
    <row r="183" spans="2:2" hidden="1" x14ac:dyDescent="0.25">
      <c r="B183" s="46"/>
    </row>
    <row r="184" spans="2:2" hidden="1" x14ac:dyDescent="0.25">
      <c r="B184" s="46"/>
    </row>
    <row r="185" spans="2:2" hidden="1" x14ac:dyDescent="0.25">
      <c r="B185" s="46"/>
    </row>
    <row r="186" spans="2:2" hidden="1" x14ac:dyDescent="0.25">
      <c r="B186" s="46"/>
    </row>
    <row r="187" spans="2:2" hidden="1" x14ac:dyDescent="0.25">
      <c r="B187" s="46"/>
    </row>
    <row r="188" spans="2:2" hidden="1" x14ac:dyDescent="0.25">
      <c r="B188" s="46"/>
    </row>
    <row r="189" spans="2:2" hidden="1" x14ac:dyDescent="0.25">
      <c r="B189" s="46"/>
    </row>
    <row r="190" spans="2:2" hidden="1" x14ac:dyDescent="0.25">
      <c r="B190" s="46"/>
    </row>
    <row r="191" spans="2:2" hidden="1" x14ac:dyDescent="0.25">
      <c r="B191" s="46"/>
    </row>
    <row r="192" spans="2:2" hidden="1" x14ac:dyDescent="0.25">
      <c r="B192" s="46"/>
    </row>
    <row r="193" spans="2:2" hidden="1" x14ac:dyDescent="0.25">
      <c r="B193" s="46"/>
    </row>
    <row r="194" spans="2:2" hidden="1" x14ac:dyDescent="0.25">
      <c r="B194" s="46"/>
    </row>
    <row r="195" spans="2:2" hidden="1" x14ac:dyDescent="0.25">
      <c r="B195" s="46"/>
    </row>
    <row r="196" spans="2:2" hidden="1" x14ac:dyDescent="0.25">
      <c r="B196" s="46"/>
    </row>
    <row r="197" spans="2:2" hidden="1" x14ac:dyDescent="0.25">
      <c r="B197" s="46"/>
    </row>
    <row r="198" spans="2:2" hidden="1" x14ac:dyDescent="0.25">
      <c r="B198" s="46"/>
    </row>
    <row r="199" spans="2:2" hidden="1" x14ac:dyDescent="0.25">
      <c r="B199" s="46"/>
    </row>
    <row r="200" spans="2:2" hidden="1" x14ac:dyDescent="0.25">
      <c r="B200" s="46"/>
    </row>
    <row r="201" spans="2:2" hidden="1" x14ac:dyDescent="0.25">
      <c r="B201" s="46"/>
    </row>
    <row r="202" spans="2:2" hidden="1" x14ac:dyDescent="0.25">
      <c r="B202" s="46"/>
    </row>
    <row r="203" spans="2:2" hidden="1" x14ac:dyDescent="0.25">
      <c r="B203" s="46"/>
    </row>
    <row r="204" spans="2:2" hidden="1" x14ac:dyDescent="0.25">
      <c r="B204" s="46"/>
    </row>
    <row r="205" spans="2:2" hidden="1" x14ac:dyDescent="0.25">
      <c r="B205" s="46"/>
    </row>
    <row r="206" spans="2:2" hidden="1" x14ac:dyDescent="0.25">
      <c r="B206" s="46"/>
    </row>
    <row r="207" spans="2:2" hidden="1" x14ac:dyDescent="0.25">
      <c r="B207" s="46"/>
    </row>
    <row r="208" spans="2:2" hidden="1" x14ac:dyDescent="0.25">
      <c r="B208" s="46"/>
    </row>
    <row r="209" spans="2:2" hidden="1" x14ac:dyDescent="0.25">
      <c r="B209" s="46"/>
    </row>
    <row r="210" spans="2:2" hidden="1" x14ac:dyDescent="0.25">
      <c r="B210" s="46"/>
    </row>
    <row r="211" spans="2:2" hidden="1" x14ac:dyDescent="0.25">
      <c r="B211" s="46"/>
    </row>
    <row r="212" spans="2:2" hidden="1" x14ac:dyDescent="0.25">
      <c r="B212" s="46"/>
    </row>
    <row r="213" spans="2:2" hidden="1" x14ac:dyDescent="0.25">
      <c r="B213" s="46"/>
    </row>
    <row r="214" spans="2:2" hidden="1" x14ac:dyDescent="0.25">
      <c r="B214" s="46"/>
    </row>
    <row r="215" spans="2:2" hidden="1" x14ac:dyDescent="0.25">
      <c r="B215" s="46"/>
    </row>
    <row r="216" spans="2:2" hidden="1" x14ac:dyDescent="0.25">
      <c r="B216" s="46"/>
    </row>
    <row r="217" spans="2:2" hidden="1" x14ac:dyDescent="0.25">
      <c r="B217" s="46"/>
    </row>
  </sheetData>
  <sheetProtection algorithmName="SHA-512" hashValue="mQE940KaRh9YBO7qkhqy+UR7EEKpfpmBnaozAdLM8vxfWilks5jkHZoH84qcKK/ROpj8SCOJViVzYPcYszZJ3A==" saltValue="y0haW2SMqKrT0aHHX6dOQQ==" spinCount="100000" sheet="1" objects="1" scenarios="1" selectLockedCells="1"/>
  <mergeCells count="6">
    <mergeCell ref="F5:Q12"/>
    <mergeCell ref="F1:G1"/>
    <mergeCell ref="F2:G4"/>
    <mergeCell ref="A1:B2"/>
    <mergeCell ref="H1:Q3"/>
    <mergeCell ref="H4:Q4"/>
  </mergeCells>
  <pageMargins left="0.511811024" right="0.511811024" top="0.78740157499999996" bottom="0.78740157499999996" header="0.31496062000000002" footer="0.31496062000000002"/>
  <ignoredErrors>
    <ignoredError sqref="C2:D2 D31:D66 D30 D4:D29 C3:D3 C30 C31:C66 C4:C29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"/>
  <dimension ref="A1:AC85"/>
  <sheetViews>
    <sheetView tabSelected="1" topLeftCell="T24" zoomScaleNormal="100" workbookViewId="0">
      <selection activeCell="T38" sqref="T38:Y41"/>
    </sheetView>
  </sheetViews>
  <sheetFormatPr defaultRowHeight="15" x14ac:dyDescent="0.25"/>
  <cols>
    <col min="1" max="1" width="17" bestFit="1" customWidth="1"/>
    <col min="2" max="2" width="22.42578125" bestFit="1" customWidth="1"/>
    <col min="3" max="3" width="20.7109375" bestFit="1" customWidth="1"/>
    <col min="4" max="4" width="6.7109375" bestFit="1" customWidth="1"/>
    <col min="5" max="5" width="11.7109375" bestFit="1" customWidth="1"/>
    <col min="6" max="6" width="13" bestFit="1" customWidth="1"/>
    <col min="7" max="7" width="18.7109375" bestFit="1" customWidth="1"/>
    <col min="8" max="8" width="8" bestFit="1" customWidth="1"/>
    <col min="9" max="10" width="6.7109375" bestFit="1" customWidth="1"/>
    <col min="11" max="11" width="6.28515625" bestFit="1" customWidth="1"/>
    <col min="13" max="13" width="15.5703125" bestFit="1" customWidth="1"/>
    <col min="14" max="14" width="19.42578125" customWidth="1"/>
    <col min="15" max="15" width="25.85546875" customWidth="1"/>
    <col min="20" max="20" width="21.85546875" customWidth="1"/>
    <col min="21" max="21" width="17" customWidth="1"/>
    <col min="22" max="22" width="15.7109375" customWidth="1"/>
    <col min="24" max="24" width="14.140625" bestFit="1" customWidth="1"/>
    <col min="25" max="25" width="12.42578125" bestFit="1" customWidth="1"/>
    <col min="28" max="28" width="15.140625" bestFit="1" customWidth="1"/>
    <col min="29" max="29" width="35.5703125" customWidth="1"/>
  </cols>
  <sheetData>
    <row r="1" spans="1:29" ht="16.5" thickBot="1" x14ac:dyDescent="0.3">
      <c r="A1" s="107" t="s">
        <v>69</v>
      </c>
      <c r="B1" s="20" t="s">
        <v>71</v>
      </c>
      <c r="C1" s="21" t="s">
        <v>70</v>
      </c>
      <c r="D1" s="108" t="s">
        <v>77</v>
      </c>
      <c r="E1" s="109"/>
      <c r="F1" s="109"/>
      <c r="G1" s="109"/>
      <c r="H1" s="109"/>
      <c r="I1" s="109"/>
      <c r="J1" s="109"/>
      <c r="K1" s="110"/>
      <c r="M1" s="47"/>
      <c r="X1" s="54" t="s">
        <v>109</v>
      </c>
      <c r="Y1" s="55" t="s">
        <v>118</v>
      </c>
      <c r="Z1" s="55" t="s">
        <v>119</v>
      </c>
    </row>
    <row r="2" spans="1:29" ht="32.25" thickBot="1" x14ac:dyDescent="0.3">
      <c r="A2" s="107"/>
      <c r="B2" s="13" t="str">
        <f>'Base de Dados P1'!C2</f>
        <v>Gastos com educação (%)</v>
      </c>
      <c r="C2" s="14" t="str">
        <f>'Base de Dados P1'!D2</f>
        <v>PIB per capita (US$ constantes de 2005)</v>
      </c>
      <c r="D2" s="22" t="s">
        <v>78</v>
      </c>
      <c r="E2" s="23" t="s">
        <v>79</v>
      </c>
      <c r="F2" s="23" t="s">
        <v>80</v>
      </c>
      <c r="G2" s="23" t="s">
        <v>81</v>
      </c>
      <c r="H2" s="23" t="s">
        <v>82</v>
      </c>
      <c r="I2" s="23" t="s">
        <v>84</v>
      </c>
      <c r="J2" s="23" t="s">
        <v>83</v>
      </c>
      <c r="K2" s="24" t="s">
        <v>85</v>
      </c>
      <c r="M2" s="56" t="s">
        <v>98</v>
      </c>
      <c r="N2" s="69">
        <f>AVERAGE(B3:B66)</f>
        <v>14.348792031250001</v>
      </c>
      <c r="U2" t="s">
        <v>108</v>
      </c>
      <c r="V2" t="s">
        <v>117</v>
      </c>
      <c r="X2" s="52" t="s">
        <v>110</v>
      </c>
      <c r="Y2" s="53">
        <f>U3</f>
        <v>8.1226400000000005</v>
      </c>
      <c r="Z2" s="53">
        <f>V3</f>
        <v>150.74274826347758</v>
      </c>
    </row>
    <row r="3" spans="1:29" ht="21.75" thickBot="1" x14ac:dyDescent="0.4">
      <c r="A3" s="25" t="s">
        <v>0</v>
      </c>
      <c r="B3" s="10">
        <f>'Base de Dados P1'!C3</f>
        <v>15.570460000000001</v>
      </c>
      <c r="C3" s="15">
        <f>'Base de Dados P1'!D3</f>
        <v>7293.6581885569003</v>
      </c>
      <c r="D3" s="18">
        <f>B3-$N$2</f>
        <v>1.2216679687499994</v>
      </c>
      <c r="E3" s="19">
        <f>C3-$N$3</f>
        <v>-9342.7735351646443</v>
      </c>
      <c r="F3" s="48">
        <f>E3*D3</f>
        <v>-11413.767167195841</v>
      </c>
      <c r="G3" s="48">
        <f>E3^2</f>
        <v>87287417.329372868</v>
      </c>
      <c r="H3" s="48">
        <f>D3^2</f>
        <v>1.4924726258697494</v>
      </c>
      <c r="I3" s="48">
        <f>$N$4+$N$5*C3</f>
        <v>15.117450168944872</v>
      </c>
      <c r="J3" s="48">
        <f>B3-I3</f>
        <v>0.45300983105512849</v>
      </c>
      <c r="K3" s="49">
        <f>I3-$N$2</f>
        <v>0.7686581376948709</v>
      </c>
      <c r="M3" s="56" t="s">
        <v>99</v>
      </c>
      <c r="N3" s="70">
        <f>AVERAGE(C3:C66)</f>
        <v>16636.431723721544</v>
      </c>
      <c r="T3" s="50" t="s">
        <v>102</v>
      </c>
      <c r="U3" s="51">
        <f>MIN(B3:B66)</f>
        <v>8.1226400000000005</v>
      </c>
      <c r="V3" s="51">
        <f>MIN(C3:C66)</f>
        <v>150.74274826347758</v>
      </c>
      <c r="X3" s="52" t="s">
        <v>111</v>
      </c>
      <c r="Y3" s="53">
        <f>0</f>
        <v>0</v>
      </c>
      <c r="Z3" s="53">
        <f>0</f>
        <v>0</v>
      </c>
      <c r="AB3" s="80"/>
      <c r="AC3" s="80"/>
    </row>
    <row r="4" spans="1:29" ht="21.75" thickBot="1" x14ac:dyDescent="0.4">
      <c r="A4" s="26" t="s">
        <v>1</v>
      </c>
      <c r="B4" s="11">
        <f>'Base de Dados P1'!C4</f>
        <v>12.400510000000001</v>
      </c>
      <c r="C4" s="16">
        <f>'Base de Dados P1'!D4</f>
        <v>1997.0522610194116</v>
      </c>
      <c r="D4" s="18">
        <f t="shared" ref="D4:D66" si="0">B4-$N$2</f>
        <v>-1.9482820312500007</v>
      </c>
      <c r="E4" s="19">
        <f t="shared" ref="E4:E66" si="1">C4-$N$3</f>
        <v>-14639.379462702133</v>
      </c>
      <c r="F4" s="48">
        <f t="shared" ref="F4:F66" si="2">E4*D4</f>
        <v>28521.639955832856</v>
      </c>
      <c r="G4" s="48">
        <f t="shared" ref="G4:G66" si="3">E4^2</f>
        <v>214311431.05298498</v>
      </c>
      <c r="H4" s="48">
        <f t="shared" ref="H4:H66" si="4">D4^2</f>
        <v>3.7958028732916285</v>
      </c>
      <c r="I4" s="48">
        <f t="shared" ref="I4:I66" si="5">$N$4+$N$5*C4</f>
        <v>15.55321790248149</v>
      </c>
      <c r="J4" s="48">
        <f t="shared" ref="J4:J66" si="6">B4-I4</f>
        <v>-3.1527079024814899</v>
      </c>
      <c r="K4" s="49">
        <f t="shared" ref="K4:K66" si="7">I4-$N$2</f>
        <v>1.2044258712314893</v>
      </c>
      <c r="M4" s="57" t="s">
        <v>100</v>
      </c>
      <c r="N4" s="58">
        <f>N2-N3*N5</f>
        <v>15.717521411076325</v>
      </c>
      <c r="T4" s="50" t="s">
        <v>103</v>
      </c>
      <c r="U4" s="51">
        <f>_xlfn.QUARTILE.EXC(B3:B66,1)</f>
        <v>10.6769775</v>
      </c>
      <c r="V4" s="51">
        <f>_xlfn.QUARTILE.EXC(C3:C66,1)</f>
        <v>1706.8501037900669</v>
      </c>
      <c r="X4" s="52" t="s">
        <v>112</v>
      </c>
      <c r="Y4" s="53">
        <f t="shared" ref="Y4:Z7" si="8">U4-U3</f>
        <v>2.554337499999999</v>
      </c>
      <c r="Z4" s="53">
        <f t="shared" si="8"/>
        <v>1556.1073555265893</v>
      </c>
      <c r="AB4" s="80"/>
      <c r="AC4" s="80"/>
    </row>
    <row r="5" spans="1:29" ht="21.75" thickBot="1" x14ac:dyDescent="0.4">
      <c r="A5" s="26" t="s">
        <v>2</v>
      </c>
      <c r="B5" s="11">
        <f>'Base de Dados P1'!C5</f>
        <v>14.3276</v>
      </c>
      <c r="C5" s="16">
        <f>'Base de Dados P1'!D5</f>
        <v>36175.112506598285</v>
      </c>
      <c r="D5" s="18">
        <f t="shared" si="0"/>
        <v>-2.1192031250000909E-2</v>
      </c>
      <c r="E5" s="19">
        <f t="shared" si="1"/>
        <v>19538.680782876741</v>
      </c>
      <c r="F5" s="48">
        <f t="shared" si="2"/>
        <v>-414.06433373451614</v>
      </c>
      <c r="G5" s="48">
        <f t="shared" si="3"/>
        <v>381760046.73515689</v>
      </c>
      <c r="H5" s="48">
        <f t="shared" si="4"/>
        <v>4.4910218850101509E-4</v>
      </c>
      <c r="I5" s="48">
        <f t="shared" si="5"/>
        <v>12.741285873998812</v>
      </c>
      <c r="J5" s="48">
        <f t="shared" si="6"/>
        <v>1.5863141260011879</v>
      </c>
      <c r="K5" s="49">
        <f t="shared" si="7"/>
        <v>-1.6075061572511888</v>
      </c>
      <c r="M5" s="57" t="s">
        <v>101</v>
      </c>
      <c r="N5" s="58">
        <f>SUM(F3:F66)/SUM(G3:G66)</f>
        <v>-8.2273013982600671E-5</v>
      </c>
      <c r="T5" s="50" t="s">
        <v>104</v>
      </c>
      <c r="U5" s="51">
        <f>MEDIAN(B3:B66)</f>
        <v>13.599685000000001</v>
      </c>
      <c r="V5" s="51">
        <f>MEDIAN(C3:C66)</f>
        <v>8346.9484545104679</v>
      </c>
      <c r="X5" s="52" t="s">
        <v>113</v>
      </c>
      <c r="Y5" s="53">
        <f t="shared" si="8"/>
        <v>2.9227075000000013</v>
      </c>
      <c r="Z5" s="53">
        <f t="shared" si="8"/>
        <v>6640.098350720401</v>
      </c>
      <c r="AB5" s="80"/>
      <c r="AC5" s="80"/>
    </row>
    <row r="6" spans="1:29" ht="21.75" thickBot="1" x14ac:dyDescent="0.4">
      <c r="A6" s="26" t="s">
        <v>3</v>
      </c>
      <c r="B6" s="11">
        <f>'Base de Dados P1'!C6</f>
        <v>10.858169999999999</v>
      </c>
      <c r="C6" s="16">
        <f>'Base de Dados P1'!D6</f>
        <v>40099.966160417134</v>
      </c>
      <c r="D6" s="18">
        <f t="shared" si="0"/>
        <v>-3.4906220312500018</v>
      </c>
      <c r="E6" s="19">
        <f t="shared" si="1"/>
        <v>23463.534436695591</v>
      </c>
      <c r="F6" s="48">
        <f t="shared" si="2"/>
        <v>-81902.330235722722</v>
      </c>
      <c r="G6" s="48">
        <f t="shared" si="3"/>
        <v>550537448.26199985</v>
      </c>
      <c r="H6" s="48">
        <f t="shared" si="4"/>
        <v>12.184442165047889</v>
      </c>
      <c r="I6" s="48">
        <f t="shared" si="5"/>
        <v>12.418376334458511</v>
      </c>
      <c r="J6" s="48">
        <f t="shared" si="6"/>
        <v>-1.5602063344585115</v>
      </c>
      <c r="K6" s="49">
        <f t="shared" si="7"/>
        <v>-1.9304156967914903</v>
      </c>
      <c r="M6" s="56" t="s">
        <v>135</v>
      </c>
      <c r="N6" s="59">
        <f>SUMSQ(J3:J66)/(COUNT(J3:J66)-2)</f>
        <v>15.713424995554179</v>
      </c>
      <c r="T6" s="50" t="s">
        <v>105</v>
      </c>
      <c r="U6" s="51">
        <f>_xlfn.QUARTILE.EXC(B3:B66,3)</f>
        <v>16.580222500000001</v>
      </c>
      <c r="V6" s="51">
        <f>_xlfn.QUARTILE.EXC(C3:C66,3)</f>
        <v>35101.975755766471</v>
      </c>
      <c r="X6" s="52" t="s">
        <v>114</v>
      </c>
      <c r="Y6" s="53">
        <f t="shared" si="8"/>
        <v>2.9805375000000005</v>
      </c>
      <c r="Z6" s="53">
        <f t="shared" si="8"/>
        <v>26755.027301256003</v>
      </c>
      <c r="AB6" s="80"/>
      <c r="AC6" s="80"/>
    </row>
    <row r="7" spans="1:29" ht="16.5" thickBot="1" x14ac:dyDescent="0.3">
      <c r="A7" s="26" t="s">
        <v>4</v>
      </c>
      <c r="B7" s="11">
        <f>'Base de Dados P1'!C7</f>
        <v>8.7791099999999993</v>
      </c>
      <c r="C7" s="16">
        <f>'Base de Dados P1'!D7</f>
        <v>3126.7240403803503</v>
      </c>
      <c r="D7" s="18">
        <f t="shared" si="0"/>
        <v>-5.5696820312500019</v>
      </c>
      <c r="E7" s="19">
        <f t="shared" si="1"/>
        <v>-13509.707683341194</v>
      </c>
      <c r="F7" s="48">
        <f t="shared" si="2"/>
        <v>75244.776131345541</v>
      </c>
      <c r="G7" s="48">
        <f t="shared" si="3"/>
        <v>182512201.68932807</v>
      </c>
      <c r="H7" s="48">
        <f t="shared" si="4"/>
        <v>31.021357929229147</v>
      </c>
      <c r="I7" s="48">
        <f t="shared" si="5"/>
        <v>15.460276400382378</v>
      </c>
      <c r="J7" s="48">
        <f t="shared" si="6"/>
        <v>-6.681166400382379</v>
      </c>
      <c r="K7" s="49">
        <f t="shared" si="7"/>
        <v>1.111484369132377</v>
      </c>
      <c r="M7" s="56" t="s">
        <v>121</v>
      </c>
      <c r="N7" s="59">
        <f>((1/COUNT(J3:J66))+N3^2/SUM(G3:G66))*N6</f>
        <v>0.47968057500979067</v>
      </c>
      <c r="T7" s="50" t="s">
        <v>106</v>
      </c>
      <c r="U7" s="51">
        <f>MAX(B3:B66)</f>
        <v>26.193249999999999</v>
      </c>
      <c r="V7" s="51">
        <f>MAX(C3:C66)</f>
        <v>66117.006972817806</v>
      </c>
      <c r="X7" s="52" t="s">
        <v>115</v>
      </c>
      <c r="Y7" s="53">
        <f t="shared" si="8"/>
        <v>9.6130274999999976</v>
      </c>
      <c r="Z7" s="53">
        <f t="shared" si="8"/>
        <v>31015.031217051335</v>
      </c>
    </row>
    <row r="8" spans="1:29" ht="16.5" thickBot="1" x14ac:dyDescent="0.3">
      <c r="A8" s="26" t="s">
        <v>5</v>
      </c>
      <c r="B8" s="11">
        <f>'Base de Dados P1'!C8</f>
        <v>12.86463</v>
      </c>
      <c r="C8" s="16">
        <f>'Base de Dados P1'!D8</f>
        <v>4524.1581679110777</v>
      </c>
      <c r="D8" s="18">
        <f t="shared" si="0"/>
        <v>-1.4841620312500012</v>
      </c>
      <c r="E8" s="19">
        <f t="shared" si="1"/>
        <v>-12112.273555810465</v>
      </c>
      <c r="F8" s="48">
        <f t="shared" si="2"/>
        <v>17976.576523647334</v>
      </c>
      <c r="G8" s="48">
        <f t="shared" si="3"/>
        <v>146707170.6907855</v>
      </c>
      <c r="H8" s="48">
        <f t="shared" si="4"/>
        <v>2.2027369350041295</v>
      </c>
      <c r="I8" s="48">
        <f t="shared" si="5"/>
        <v>15.34530528286828</v>
      </c>
      <c r="J8" s="48">
        <f t="shared" si="6"/>
        <v>-2.4806752828682797</v>
      </c>
      <c r="K8" s="49">
        <f t="shared" si="7"/>
        <v>0.99651325161827842</v>
      </c>
      <c r="M8" s="56" t="s">
        <v>122</v>
      </c>
      <c r="N8" s="59">
        <f>N6/SUM(G3:G66)</f>
        <v>8.4603671438853502E-10</v>
      </c>
      <c r="T8" s="50" t="s">
        <v>107</v>
      </c>
      <c r="U8" s="51">
        <f>AVERAGE(B3:B66)</f>
        <v>14.348792031250001</v>
      </c>
      <c r="V8" s="51">
        <f>AVERAGE(C3:C66)</f>
        <v>16636.431723721544</v>
      </c>
      <c r="X8" s="52" t="s">
        <v>116</v>
      </c>
      <c r="Y8" s="53">
        <f>0</f>
        <v>0</v>
      </c>
      <c r="Z8" s="53">
        <f>0</f>
        <v>0</v>
      </c>
    </row>
    <row r="9" spans="1:29" ht="16.5" thickBot="1" x14ac:dyDescent="0.3">
      <c r="A9" s="26" t="s">
        <v>6</v>
      </c>
      <c r="B9" s="11">
        <f>'Base de Dados P1'!C9</f>
        <v>12.223739999999999</v>
      </c>
      <c r="C9" s="16">
        <f>'Base de Dados P1'!D9</f>
        <v>37745.501703613969</v>
      </c>
      <c r="D9" s="18">
        <f t="shared" si="0"/>
        <v>-2.1250520312500019</v>
      </c>
      <c r="E9" s="19">
        <f t="shared" si="1"/>
        <v>21109.069979892425</v>
      </c>
      <c r="F9" s="48">
        <f t="shared" si="2"/>
        <v>-44857.872038568836</v>
      </c>
      <c r="G9" s="48">
        <f t="shared" si="3"/>
        <v>445592835.4159956</v>
      </c>
      <c r="H9" s="48">
        <f t="shared" si="4"/>
        <v>4.5158461355197588</v>
      </c>
      <c r="I9" s="48">
        <f t="shared" si="5"/>
        <v>12.612085221634615</v>
      </c>
      <c r="J9" s="48">
        <f t="shared" si="6"/>
        <v>-0.38834522163461571</v>
      </c>
      <c r="K9" s="49">
        <f t="shared" si="7"/>
        <v>-1.7367068096153861</v>
      </c>
      <c r="M9" s="57" t="s">
        <v>123</v>
      </c>
      <c r="N9" s="58">
        <f>N4/SQRT(N7)</f>
        <v>22.693840321400984</v>
      </c>
    </row>
    <row r="10" spans="1:29" ht="16.5" thickBot="1" x14ac:dyDescent="0.3">
      <c r="A10" s="26" t="s">
        <v>7</v>
      </c>
      <c r="B10" s="11">
        <f>'Base de Dados P1'!C10</f>
        <v>14.559889999999999</v>
      </c>
      <c r="C10" s="16">
        <f>'Base de Dados P1'!D10</f>
        <v>5678.2860346340567</v>
      </c>
      <c r="D10" s="18">
        <f>B10-$N$2</f>
        <v>0.21109796874999809</v>
      </c>
      <c r="E10" s="19">
        <f t="shared" si="1"/>
        <v>-10958.145689087487</v>
      </c>
      <c r="F10" s="48">
        <f t="shared" si="2"/>
        <v>-2313.2422962329165</v>
      </c>
      <c r="G10" s="48">
        <f t="shared" si="3"/>
        <v>120080956.94326667</v>
      </c>
      <c r="H10" s="48">
        <f t="shared" si="4"/>
        <v>4.4562352410375171E-2</v>
      </c>
      <c r="I10" s="48">
        <f t="shared" si="5"/>
        <v>15.250351704751671</v>
      </c>
      <c r="J10" s="48">
        <f t="shared" si="6"/>
        <v>-0.69046170475167123</v>
      </c>
      <c r="K10" s="49">
        <f t="shared" si="7"/>
        <v>0.90155967350166932</v>
      </c>
      <c r="M10" s="57" t="s">
        <v>124</v>
      </c>
      <c r="N10" s="58">
        <f>N5/SQRT(N8)</f>
        <v>-2.8285431118229876</v>
      </c>
    </row>
    <row r="11" spans="1:29" ht="16.5" thickBot="1" x14ac:dyDescent="0.3">
      <c r="A11" s="26" t="s">
        <v>8</v>
      </c>
      <c r="B11" s="11">
        <f>'Base de Dados P1'!C11</f>
        <v>11.16342</v>
      </c>
      <c r="C11" s="16">
        <f>'Base de Dados P1'!D11</f>
        <v>4559.6954470031878</v>
      </c>
      <c r="D11" s="18">
        <f t="shared" si="0"/>
        <v>-3.1853720312500009</v>
      </c>
      <c r="E11" s="19">
        <f t="shared" si="1"/>
        <v>-12076.736276718355</v>
      </c>
      <c r="F11" s="48">
        <f t="shared" si="2"/>
        <v>38468.897964640921</v>
      </c>
      <c r="G11" s="48">
        <f t="shared" si="3"/>
        <v>145847559.09740511</v>
      </c>
      <c r="H11" s="48">
        <f t="shared" si="4"/>
        <v>10.146594977469757</v>
      </c>
      <c r="I11" s="48">
        <f t="shared" si="5"/>
        <v>15.34238152380863</v>
      </c>
      <c r="J11" s="48">
        <f t="shared" si="6"/>
        <v>-4.1789615238086295</v>
      </c>
      <c r="K11" s="49">
        <f t="shared" si="7"/>
        <v>0.99358949255862861</v>
      </c>
      <c r="M11" s="57" t="s">
        <v>137</v>
      </c>
      <c r="N11" s="58">
        <f>_xlfn.T.INV(5%,(COUNT(D3:D66)-2))</f>
        <v>-1.6698041625120112</v>
      </c>
    </row>
    <row r="12" spans="1:29" ht="16.5" thickBot="1" x14ac:dyDescent="0.3">
      <c r="A12" s="26" t="s">
        <v>9</v>
      </c>
      <c r="B12" s="11">
        <f>'Base de Dados P1'!C12</f>
        <v>16.588100000000001</v>
      </c>
      <c r="C12" s="16">
        <f>'Base de Dados P1'!D12</f>
        <v>150.74274826347758</v>
      </c>
      <c r="D12" s="18">
        <f t="shared" si="0"/>
        <v>2.2393079687499995</v>
      </c>
      <c r="E12" s="19">
        <f t="shared" si="1"/>
        <v>-16485.688975458066</v>
      </c>
      <c r="F12" s="48">
        <f t="shared" si="2"/>
        <v>-36916.534693077265</v>
      </c>
      <c r="G12" s="48">
        <f t="shared" si="3"/>
        <v>271777940.99553961</v>
      </c>
      <c r="H12" s="48">
        <f t="shared" si="4"/>
        <v>5.014500178907249</v>
      </c>
      <c r="I12" s="48">
        <f t="shared" si="5"/>
        <v>15.705119350840668</v>
      </c>
      <c r="J12" s="48">
        <f t="shared" si="6"/>
        <v>0.88298064915933239</v>
      </c>
      <c r="K12" s="49">
        <f t="shared" si="7"/>
        <v>1.3563273195906671</v>
      </c>
      <c r="M12" s="56" t="s">
        <v>140</v>
      </c>
      <c r="N12" s="59">
        <f>SUMSQ(D3:D66)</f>
        <v>1099.950059823836</v>
      </c>
    </row>
    <row r="13" spans="1:29" ht="16.5" thickBot="1" x14ac:dyDescent="0.3">
      <c r="A13" s="26" t="s">
        <v>10</v>
      </c>
      <c r="B13" s="11">
        <f>'Base de Dados P1'!C13</f>
        <v>12.387890000000001</v>
      </c>
      <c r="C13" s="16">
        <f>'Base de Dados P1'!D13</f>
        <v>36465.710863547902</v>
      </c>
      <c r="D13" s="18">
        <f t="shared" si="0"/>
        <v>-1.9609020312500007</v>
      </c>
      <c r="E13" s="19">
        <f t="shared" si="1"/>
        <v>19829.279139826358</v>
      </c>
      <c r="F13" s="48">
        <f t="shared" si="2"/>
        <v>-38883.273743508769</v>
      </c>
      <c r="G13" s="48">
        <f t="shared" si="3"/>
        <v>393200311.20515275</v>
      </c>
      <c r="H13" s="48">
        <f t="shared" si="4"/>
        <v>3.8451367761603787</v>
      </c>
      <c r="I13" s="48">
        <f t="shared" si="5"/>
        <v>12.717377471314174</v>
      </c>
      <c r="J13" s="48">
        <f t="shared" si="6"/>
        <v>-0.32948747131417377</v>
      </c>
      <c r="K13" s="49">
        <f t="shared" si="7"/>
        <v>-1.631414559935827</v>
      </c>
      <c r="M13" s="56" t="s">
        <v>141</v>
      </c>
      <c r="N13" s="81">
        <f>SUMSQ(K3:K66)</f>
        <v>125.71771009947675</v>
      </c>
    </row>
    <row r="14" spans="1:29" ht="16.5" thickBot="1" x14ac:dyDescent="0.3">
      <c r="A14" s="26" t="s">
        <v>11</v>
      </c>
      <c r="B14" s="11">
        <f>'Base de Dados P1'!C14</f>
        <v>17.514019999999999</v>
      </c>
      <c r="C14" s="16">
        <f>'Base de Dados P1'!D14</f>
        <v>8609.2679088412897</v>
      </c>
      <c r="D14" s="18">
        <f t="shared" si="0"/>
        <v>3.1652279687499973</v>
      </c>
      <c r="E14" s="19">
        <f t="shared" si="1"/>
        <v>-8027.163814880254</v>
      </c>
      <c r="F14" s="48">
        <f t="shared" si="2"/>
        <v>-25407.803416596907</v>
      </c>
      <c r="G14" s="48">
        <f t="shared" si="3"/>
        <v>64435358.910922915</v>
      </c>
      <c r="H14" s="48">
        <f t="shared" si="4"/>
        <v>10.018668094157235</v>
      </c>
      <c r="I14" s="48">
        <f t="shared" si="5"/>
        <v>15.009210992032269</v>
      </c>
      <c r="J14" s="48">
        <f t="shared" si="6"/>
        <v>2.5048090079677294</v>
      </c>
      <c r="K14" s="49">
        <f t="shared" si="7"/>
        <v>0.66041896078226792</v>
      </c>
      <c r="M14" s="56" t="s">
        <v>142</v>
      </c>
      <c r="N14" s="59">
        <f>SUMSQ(J3:J66)</f>
        <v>974.2323497243591</v>
      </c>
    </row>
    <row r="15" spans="1:29" ht="16.5" thickBot="1" x14ac:dyDescent="0.3">
      <c r="A15" s="26" t="s">
        <v>12</v>
      </c>
      <c r="B15" s="11">
        <f>'Base de Dados P1'!C15</f>
        <v>16.418579999999999</v>
      </c>
      <c r="C15" s="16">
        <f>'Base de Dados P1'!D15</f>
        <v>3939.1069947754286</v>
      </c>
      <c r="D15" s="18">
        <f t="shared" si="0"/>
        <v>2.0697879687499974</v>
      </c>
      <c r="E15" s="19">
        <f t="shared" si="1"/>
        <v>-12697.324728946114</v>
      </c>
      <c r="F15" s="48">
        <f t="shared" si="2"/>
        <v>-26280.769959284487</v>
      </c>
      <c r="G15" s="48">
        <f t="shared" si="3"/>
        <v>161222055.2723065</v>
      </c>
      <c r="H15" s="48">
        <f t="shared" si="4"/>
        <v>4.2840222355822402</v>
      </c>
      <c r="I15" s="48">
        <f t="shared" si="5"/>
        <v>15.393439206216206</v>
      </c>
      <c r="J15" s="48">
        <f t="shared" si="6"/>
        <v>1.0251407937837929</v>
      </c>
      <c r="K15" s="49">
        <f t="shared" si="7"/>
        <v>1.0446471749662045</v>
      </c>
      <c r="M15" s="56" t="s">
        <v>143</v>
      </c>
      <c r="N15" s="59">
        <f>N13+N14</f>
        <v>1099.9500598238358</v>
      </c>
    </row>
    <row r="16" spans="1:29" ht="16.5" thickBot="1" x14ac:dyDescent="0.3">
      <c r="A16" s="26" t="s">
        <v>13</v>
      </c>
      <c r="B16" s="11">
        <f>'Base de Dados P1'!C16</f>
        <v>9.0825899999999997</v>
      </c>
      <c r="C16" s="16">
        <f>'Base de Dados P1'!D16</f>
        <v>10523.915406034161</v>
      </c>
      <c r="D16" s="18">
        <f t="shared" si="0"/>
        <v>-5.2662020312500015</v>
      </c>
      <c r="E16" s="19">
        <f t="shared" si="1"/>
        <v>-6112.516317687383</v>
      </c>
      <c r="F16" s="48">
        <f t="shared" si="2"/>
        <v>32189.745848254075</v>
      </c>
      <c r="G16" s="48">
        <f t="shared" si="3"/>
        <v>37362855.733994521</v>
      </c>
      <c r="H16" s="48">
        <f t="shared" si="4"/>
        <v>27.732883833941642</v>
      </c>
      <c r="I16" s="48">
        <f t="shared" si="5"/>
        <v>14.85168717172397</v>
      </c>
      <c r="J16" s="48">
        <f t="shared" si="6"/>
        <v>-5.7690971717239705</v>
      </c>
      <c r="K16" s="49">
        <f t="shared" si="7"/>
        <v>0.50289514047396899</v>
      </c>
      <c r="M16" s="57" t="s">
        <v>144</v>
      </c>
      <c r="N16" s="114">
        <f>N13/N12</f>
        <v>0.11429401632980614</v>
      </c>
    </row>
    <row r="17" spans="1:18" ht="16.5" thickBot="1" x14ac:dyDescent="0.3">
      <c r="A17" s="26" t="s">
        <v>14</v>
      </c>
      <c r="B17" s="11">
        <f>'Base de Dados P1'!C17</f>
        <v>15.68234</v>
      </c>
      <c r="C17" s="16">
        <f>'Base de Dados P1'!D17</f>
        <v>24852.373674759499</v>
      </c>
      <c r="D17" s="18">
        <f t="shared" si="0"/>
        <v>1.3335479687499987</v>
      </c>
      <c r="E17" s="19">
        <f t="shared" si="1"/>
        <v>8215.9419510379557</v>
      </c>
      <c r="F17" s="48">
        <f t="shared" si="2"/>
        <v>10956.352700174568</v>
      </c>
      <c r="G17" s="48">
        <f t="shared" si="3"/>
        <v>67501702.142825365</v>
      </c>
      <c r="H17" s="48">
        <f t="shared" si="4"/>
        <v>1.7783501849572476</v>
      </c>
      <c r="I17" s="48">
        <f t="shared" si="5"/>
        <v>13.67284172423202</v>
      </c>
      <c r="J17" s="48">
        <f t="shared" si="6"/>
        <v>2.0094982757679798</v>
      </c>
      <c r="K17" s="49">
        <f t="shared" si="7"/>
        <v>-0.67595030701798109</v>
      </c>
    </row>
    <row r="18" spans="1:18" ht="16.5" thickBot="1" x14ac:dyDescent="0.3">
      <c r="A18" s="26" t="s">
        <v>15</v>
      </c>
      <c r="B18" s="11">
        <f>'Base de Dados P1'!C18</f>
        <v>9.7125000000000004</v>
      </c>
      <c r="C18" s="16">
        <f>'Base de Dados P1'!D18</f>
        <v>14640.343169543186</v>
      </c>
      <c r="D18" s="18">
        <f t="shared" si="0"/>
        <v>-4.6362920312500009</v>
      </c>
      <c r="E18" s="19">
        <f t="shared" si="1"/>
        <v>-1996.0885541783573</v>
      </c>
      <c r="F18" s="48">
        <f t="shared" si="2"/>
        <v>9254.4494574064538</v>
      </c>
      <c r="G18" s="48">
        <f t="shared" si="3"/>
        <v>3984369.5161218448</v>
      </c>
      <c r="H18" s="48">
        <f t="shared" si="4"/>
        <v>21.495203799032261</v>
      </c>
      <c r="I18" s="48">
        <f t="shared" si="5"/>
        <v>14.513016252778426</v>
      </c>
      <c r="J18" s="48">
        <f t="shared" si="6"/>
        <v>-4.8005162527784258</v>
      </c>
      <c r="K18" s="49">
        <f t="shared" si="7"/>
        <v>0.16422422152842486</v>
      </c>
      <c r="M18" s="111" t="s">
        <v>153</v>
      </c>
      <c r="N18" s="112"/>
      <c r="O18" s="112"/>
      <c r="P18" s="112"/>
      <c r="Q18" s="112"/>
      <c r="R18" s="113"/>
    </row>
    <row r="19" spans="1:18" ht="16.5" thickBot="1" x14ac:dyDescent="0.3">
      <c r="A19" s="26" t="s">
        <v>16</v>
      </c>
      <c r="B19" s="11">
        <f>'Base de Dados P1'!C19</f>
        <v>15.103339999999999</v>
      </c>
      <c r="C19" s="16">
        <f>'Base de Dados P1'!D19</f>
        <v>47791.919518481714</v>
      </c>
      <c r="D19" s="18">
        <f t="shared" si="0"/>
        <v>0.75454796874999808</v>
      </c>
      <c r="E19" s="19">
        <f t="shared" si="1"/>
        <v>31155.487794760171</v>
      </c>
      <c r="F19" s="48">
        <f t="shared" si="2"/>
        <v>23508.310030951645</v>
      </c>
      <c r="G19" s="48">
        <f t="shared" si="3"/>
        <v>970664419.72944999</v>
      </c>
      <c r="H19" s="48">
        <f t="shared" si="4"/>
        <v>0.56934263714474809</v>
      </c>
      <c r="I19" s="48">
        <f t="shared" si="5"/>
        <v>11.785536148276952</v>
      </c>
      <c r="J19" s="48">
        <f t="shared" si="6"/>
        <v>3.3178038517230473</v>
      </c>
      <c r="K19" s="49">
        <f t="shared" si="7"/>
        <v>-2.5632558829730492</v>
      </c>
      <c r="M19" s="72" t="s">
        <v>145</v>
      </c>
      <c r="N19" s="73" t="s">
        <v>149</v>
      </c>
      <c r="O19" s="73" t="s">
        <v>150</v>
      </c>
      <c r="P19" s="73" t="s">
        <v>151</v>
      </c>
      <c r="Q19" s="73" t="s">
        <v>152</v>
      </c>
      <c r="R19" s="73" t="s">
        <v>154</v>
      </c>
    </row>
    <row r="20" spans="1:18" ht="16.5" thickBot="1" x14ac:dyDescent="0.3">
      <c r="A20" s="26" t="s">
        <v>17</v>
      </c>
      <c r="B20" s="11">
        <f>'Base de Dados P1'!C20</f>
        <v>16.16422</v>
      </c>
      <c r="C20" s="16">
        <f>'Base de Dados P1'!D20</f>
        <v>2949.6137287227111</v>
      </c>
      <c r="D20" s="18">
        <f t="shared" si="0"/>
        <v>1.815427968749999</v>
      </c>
      <c r="E20" s="19">
        <f t="shared" si="1"/>
        <v>-13686.817994998833</v>
      </c>
      <c r="F20" s="48">
        <f t="shared" si="2"/>
        <v>-24847.432191311666</v>
      </c>
      <c r="G20" s="48">
        <f t="shared" si="3"/>
        <v>187328986.82822388</v>
      </c>
      <c r="H20" s="48">
        <f t="shared" si="4"/>
        <v>3.2957787097197473</v>
      </c>
      <c r="I20" s="48">
        <f t="shared" si="5"/>
        <v>15.474847799529851</v>
      </c>
      <c r="J20" s="48">
        <f t="shared" si="6"/>
        <v>0.68937220047014947</v>
      </c>
      <c r="K20" s="49">
        <f t="shared" si="7"/>
        <v>1.1260557682798495</v>
      </c>
      <c r="M20" s="72" t="s">
        <v>146</v>
      </c>
      <c r="N20" s="71">
        <v>1</v>
      </c>
      <c r="O20" s="76">
        <f>N13</f>
        <v>125.71771009947675</v>
      </c>
      <c r="P20" s="71">
        <f>O20/N20</f>
        <v>125.71771009947675</v>
      </c>
      <c r="Q20" s="71">
        <f>P20/P21</f>
        <v>8.00065613544127</v>
      </c>
      <c r="R20" s="71">
        <f>FINV(5%,N20,N21)</f>
        <v>3.9958871259107291</v>
      </c>
    </row>
    <row r="21" spans="1:18" ht="16.5" customHeight="1" thickBot="1" x14ac:dyDescent="0.3">
      <c r="A21" s="26" t="s">
        <v>18</v>
      </c>
      <c r="B21" s="11">
        <f>'Base de Dados P1'!C21</f>
        <v>13.681800000000001</v>
      </c>
      <c r="C21" s="16">
        <f>'Base de Dados P1'!D21</f>
        <v>10364.464126272213</v>
      </c>
      <c r="D21" s="18">
        <f t="shared" si="0"/>
        <v>-0.66699203125000039</v>
      </c>
      <c r="E21" s="19">
        <f t="shared" si="1"/>
        <v>-6271.9675974493312</v>
      </c>
      <c r="F21" s="48">
        <f t="shared" si="2"/>
        <v>4183.3524077569145</v>
      </c>
      <c r="G21" s="48">
        <f t="shared" si="3"/>
        <v>39337577.543454334</v>
      </c>
      <c r="H21" s="48">
        <f t="shared" si="4"/>
        <v>0.44487836975100148</v>
      </c>
      <c r="I21" s="48">
        <f t="shared" si="5"/>
        <v>14.864805709093368</v>
      </c>
      <c r="J21" s="48">
        <f t="shared" si="6"/>
        <v>-1.1830057090933668</v>
      </c>
      <c r="K21" s="49">
        <f t="shared" si="7"/>
        <v>0.51601367784336638</v>
      </c>
      <c r="M21" s="72" t="s">
        <v>147</v>
      </c>
      <c r="N21" s="75">
        <f>COUNT(D3:D66)-2</f>
        <v>62</v>
      </c>
      <c r="O21" s="76">
        <f>N14</f>
        <v>974.2323497243591</v>
      </c>
      <c r="P21" s="71">
        <f>O21/N21</f>
        <v>15.713424995554179</v>
      </c>
      <c r="Q21" s="71"/>
      <c r="R21" s="71"/>
    </row>
    <row r="22" spans="1:18" ht="16.5" thickBot="1" x14ac:dyDescent="0.3">
      <c r="A22" s="26" t="s">
        <v>19</v>
      </c>
      <c r="B22" s="11">
        <f>'Base de Dados P1'!C22</f>
        <v>22.035820000000001</v>
      </c>
      <c r="C22" s="16">
        <f>'Base de Dados P1'!D22</f>
        <v>238.63182187645808</v>
      </c>
      <c r="D22" s="18">
        <f t="shared" si="0"/>
        <v>7.6870279687499998</v>
      </c>
      <c r="E22" s="19">
        <f t="shared" si="1"/>
        <v>-16397.799901845086</v>
      </c>
      <c r="F22" s="48">
        <f t="shared" si="2"/>
        <v>-126050.34647144919</v>
      </c>
      <c r="G22" s="48">
        <f t="shared" si="3"/>
        <v>268887841.6209507</v>
      </c>
      <c r="H22" s="48">
        <f t="shared" si="4"/>
        <v>59.090398992344745</v>
      </c>
      <c r="I22" s="48">
        <f t="shared" si="5"/>
        <v>15.69788845185839</v>
      </c>
      <c r="J22" s="48">
        <f t="shared" si="6"/>
        <v>6.3379315481416114</v>
      </c>
      <c r="K22" s="49">
        <f t="shared" si="7"/>
        <v>1.3490964206083884</v>
      </c>
      <c r="M22" s="72" t="s">
        <v>148</v>
      </c>
      <c r="N22" s="71">
        <f>SUM(N20:N21)</f>
        <v>63</v>
      </c>
      <c r="O22" s="76">
        <f>N12</f>
        <v>1099.950059823836</v>
      </c>
      <c r="P22" s="71"/>
      <c r="Q22" s="71"/>
      <c r="R22" s="71"/>
    </row>
    <row r="23" spans="1:18" ht="16.5" thickBot="1" x14ac:dyDescent="0.3">
      <c r="A23" s="26" t="s">
        <v>20</v>
      </c>
      <c r="B23" s="11">
        <f>'Base de Dados P1'!C23</f>
        <v>11.956110000000001</v>
      </c>
      <c r="C23" s="16">
        <f>'Base de Dados P1'!D23</f>
        <v>39698.80530542905</v>
      </c>
      <c r="D23" s="18">
        <f t="shared" si="0"/>
        <v>-2.3926820312500006</v>
      </c>
      <c r="E23" s="19">
        <f t="shared" si="1"/>
        <v>23062.373581707507</v>
      </c>
      <c r="F23" s="48">
        <f t="shared" si="2"/>
        <v>-55180.926866926267</v>
      </c>
      <c r="G23" s="48">
        <f t="shared" si="3"/>
        <v>531873075.22224033</v>
      </c>
      <c r="H23" s="48">
        <f t="shared" si="4"/>
        <v>5.7249273026666287</v>
      </c>
      <c r="I23" s="48">
        <f t="shared" si="5"/>
        <v>12.451381047090219</v>
      </c>
      <c r="J23" s="48">
        <f t="shared" si="6"/>
        <v>-0.49527104709021863</v>
      </c>
      <c r="K23" s="49">
        <f t="shared" si="7"/>
        <v>-1.8974109841597819</v>
      </c>
      <c r="M23" s="74"/>
    </row>
    <row r="24" spans="1:18" ht="16.5" customHeight="1" thickBot="1" x14ac:dyDescent="0.3">
      <c r="A24" s="26" t="s">
        <v>21</v>
      </c>
      <c r="B24" s="11">
        <f>'Base de Dados P1'!C24</f>
        <v>10.069129999999999</v>
      </c>
      <c r="C24" s="16">
        <f>'Base de Dados P1'!D24</f>
        <v>35216.499562716868</v>
      </c>
      <c r="D24" s="18">
        <f t="shared" si="0"/>
        <v>-4.2796620312500018</v>
      </c>
      <c r="E24" s="19">
        <f t="shared" si="1"/>
        <v>18580.067838995325</v>
      </c>
      <c r="F24" s="48">
        <f t="shared" si="2"/>
        <v>-79516.410868597566</v>
      </c>
      <c r="G24" s="48">
        <f t="shared" si="3"/>
        <v>345218920.90166837</v>
      </c>
      <c r="H24" s="48">
        <f t="shared" si="4"/>
        <v>18.31550710172289</v>
      </c>
      <c r="I24" s="48">
        <f t="shared" si="5"/>
        <v>12.82015385013467</v>
      </c>
      <c r="J24" s="48">
        <f t="shared" si="6"/>
        <v>-2.7510238501346702</v>
      </c>
      <c r="K24" s="49">
        <f t="shared" si="7"/>
        <v>-1.5286381811153316</v>
      </c>
      <c r="M24" s="77"/>
      <c r="N24" s="77"/>
      <c r="O24" s="77"/>
      <c r="P24" s="77"/>
      <c r="Q24" s="77"/>
      <c r="R24" s="77"/>
    </row>
    <row r="25" spans="1:18" ht="16.5" thickBot="1" x14ac:dyDescent="0.3">
      <c r="A25" s="26" t="s">
        <v>22</v>
      </c>
      <c r="B25" s="11">
        <f>'Base de Dados P1'!C25</f>
        <v>10.616580000000001</v>
      </c>
      <c r="C25" s="16">
        <f>'Base de Dados P1'!D25</f>
        <v>37147.022169488737</v>
      </c>
      <c r="D25" s="18">
        <f t="shared" si="0"/>
        <v>-3.7322120312500005</v>
      </c>
      <c r="E25" s="19">
        <f t="shared" si="1"/>
        <v>20510.590445767193</v>
      </c>
      <c r="F25" s="48">
        <f t="shared" si="2"/>
        <v>-76549.87242973363</v>
      </c>
      <c r="G25" s="48">
        <f t="shared" si="3"/>
        <v>420684320.43399644</v>
      </c>
      <c r="H25" s="48">
        <f t="shared" si="4"/>
        <v>13.929406646207255</v>
      </c>
      <c r="I25" s="48">
        <f t="shared" si="5"/>
        <v>12.661323936714</v>
      </c>
      <c r="J25" s="48">
        <f t="shared" si="6"/>
        <v>-2.0447439367139992</v>
      </c>
      <c r="K25" s="49">
        <f t="shared" si="7"/>
        <v>-1.6874680945360012</v>
      </c>
      <c r="M25" s="77"/>
      <c r="N25" s="77"/>
      <c r="O25" s="77"/>
      <c r="P25" s="77"/>
      <c r="Q25" s="77"/>
      <c r="R25" s="77"/>
    </row>
    <row r="26" spans="1:18" ht="16.5" thickBot="1" x14ac:dyDescent="0.3">
      <c r="A26" s="26" t="s">
        <v>23</v>
      </c>
      <c r="B26" s="11">
        <f>'Base de Dados P1'!C26</f>
        <v>21.244219999999999</v>
      </c>
      <c r="C26" s="16">
        <f>'Base de Dados P1'!D26</f>
        <v>606.38421894599378</v>
      </c>
      <c r="D26" s="18">
        <f t="shared" si="0"/>
        <v>6.8954279687499973</v>
      </c>
      <c r="E26" s="19">
        <f t="shared" si="1"/>
        <v>-16030.04750477555</v>
      </c>
      <c r="F26" s="48">
        <f t="shared" si="2"/>
        <v>-110534.03790482043</v>
      </c>
      <c r="G26" s="48">
        <f t="shared" si="3"/>
        <v>256962423.00536084</v>
      </c>
      <c r="H26" s="48">
        <f t="shared" si="4"/>
        <v>47.546926872219714</v>
      </c>
      <c r="I26" s="48">
        <f t="shared" si="5"/>
        <v>15.667632353752152</v>
      </c>
      <c r="J26" s="48">
        <f t="shared" si="6"/>
        <v>5.5765876462478463</v>
      </c>
      <c r="K26" s="49">
        <f t="shared" si="7"/>
        <v>1.318840322502151</v>
      </c>
      <c r="M26" s="77"/>
      <c r="N26" s="77"/>
      <c r="O26" s="77"/>
      <c r="P26" s="77"/>
      <c r="Q26" s="77"/>
      <c r="R26" s="77"/>
    </row>
    <row r="27" spans="1:18" ht="16.5" thickBot="1" x14ac:dyDescent="0.3">
      <c r="A27" s="26" t="s">
        <v>24</v>
      </c>
      <c r="B27" s="11">
        <f>'Base de Dados P1'!C27</f>
        <v>19.29692</v>
      </c>
      <c r="C27" s="16">
        <f>'Base de Dados P1'!D27</f>
        <v>2270.0982681651722</v>
      </c>
      <c r="D27" s="18">
        <f t="shared" si="0"/>
        <v>4.9481279687499988</v>
      </c>
      <c r="E27" s="19">
        <f t="shared" si="1"/>
        <v>-14366.333455556371</v>
      </c>
      <c r="F27" s="48">
        <f t="shared" si="2"/>
        <v>-71086.456379827301</v>
      </c>
      <c r="G27" s="48">
        <f t="shared" si="3"/>
        <v>206391536.95623824</v>
      </c>
      <c r="H27" s="48">
        <f t="shared" si="4"/>
        <v>24.48397039512599</v>
      </c>
      <c r="I27" s="48">
        <f t="shared" si="5"/>
        <v>15.530753584517694</v>
      </c>
      <c r="J27" s="48">
        <f t="shared" si="6"/>
        <v>3.7661664154823065</v>
      </c>
      <c r="K27" s="49">
        <f t="shared" si="7"/>
        <v>1.1819615532676924</v>
      </c>
    </row>
    <row r="28" spans="1:18" ht="16.5" thickBot="1" x14ac:dyDescent="0.3">
      <c r="A28" s="26" t="s">
        <v>86</v>
      </c>
      <c r="B28" s="11">
        <f>'Base de Dados P1'!C28</f>
        <v>19.909549999999999</v>
      </c>
      <c r="C28" s="16">
        <f>'Base de Dados P1'!D28</f>
        <v>31328.375193366537</v>
      </c>
      <c r="D28" s="18">
        <f t="shared" si="0"/>
        <v>5.5607579687499982</v>
      </c>
      <c r="E28" s="19">
        <f t="shared" si="1"/>
        <v>14691.943469644993</v>
      </c>
      <c r="F28" s="48">
        <f t="shared" si="2"/>
        <v>81698.341725252889</v>
      </c>
      <c r="G28" s="48">
        <f t="shared" si="3"/>
        <v>215853202.91524416</v>
      </c>
      <c r="H28" s="48">
        <f t="shared" si="4"/>
        <v>30.922029187016605</v>
      </c>
      <c r="I28" s="48">
        <f t="shared" si="5"/>
        <v>13.14004156074032</v>
      </c>
      <c r="J28" s="48">
        <f t="shared" si="6"/>
        <v>6.7695084392596794</v>
      </c>
      <c r="K28" s="49">
        <f t="shared" si="7"/>
        <v>-1.2087504705096812</v>
      </c>
    </row>
    <row r="29" spans="1:18" ht="16.5" thickBot="1" x14ac:dyDescent="0.3">
      <c r="A29" s="26" t="s">
        <v>26</v>
      </c>
      <c r="B29" s="11">
        <f>'Base de Dados P1'!C29</f>
        <v>9.6849799999999995</v>
      </c>
      <c r="C29" s="16">
        <f>'Base de Dados P1'!D29</f>
        <v>11108.89983126476</v>
      </c>
      <c r="D29" s="18">
        <f t="shared" si="0"/>
        <v>-4.6638120312500018</v>
      </c>
      <c r="E29" s="19">
        <f t="shared" si="1"/>
        <v>-5527.5318924567837</v>
      </c>
      <c r="F29" s="48">
        <f t="shared" si="2"/>
        <v>25779.36974315804</v>
      </c>
      <c r="G29" s="48">
        <f t="shared" si="3"/>
        <v>30553608.822126873</v>
      </c>
      <c r="H29" s="48">
        <f t="shared" si="4"/>
        <v>21.751142662832269</v>
      </c>
      <c r="I29" s="48">
        <f t="shared" si="5"/>
        <v>14.803558739927368</v>
      </c>
      <c r="J29" s="48">
        <f t="shared" si="6"/>
        <v>-5.1185787399273686</v>
      </c>
      <c r="K29" s="49">
        <f t="shared" si="7"/>
        <v>0.45476670867736679</v>
      </c>
    </row>
    <row r="30" spans="1:18" ht="16.5" thickBot="1" x14ac:dyDescent="0.3">
      <c r="A30" s="26" t="s">
        <v>27</v>
      </c>
      <c r="B30" s="11">
        <f>'Base de Dados P1'!C30</f>
        <v>11.74278</v>
      </c>
      <c r="C30" s="16">
        <f>'Base de Dados P1'!D30</f>
        <v>1031.5611346494393</v>
      </c>
      <c r="D30" s="18">
        <f t="shared" si="0"/>
        <v>-2.6060120312500015</v>
      </c>
      <c r="E30" s="19">
        <f t="shared" si="1"/>
        <v>-15604.870589072105</v>
      </c>
      <c r="F30" s="48">
        <f t="shared" si="2"/>
        <v>40666.480501221202</v>
      </c>
      <c r="G30" s="48">
        <f t="shared" si="3"/>
        <v>243511986.10168758</v>
      </c>
      <c r="H30" s="48">
        <f t="shared" si="4"/>
        <v>6.7912987070197586</v>
      </c>
      <c r="I30" s="48">
        <f t="shared" si="5"/>
        <v>15.632651767421404</v>
      </c>
      <c r="J30" s="48">
        <f t="shared" si="6"/>
        <v>-3.8898717674214041</v>
      </c>
      <c r="K30" s="49">
        <f t="shared" si="7"/>
        <v>1.2838597361714026</v>
      </c>
    </row>
    <row r="31" spans="1:18" ht="16.5" thickBot="1" x14ac:dyDescent="0.3">
      <c r="A31" s="26" t="s">
        <v>28</v>
      </c>
      <c r="B31" s="11">
        <f>'Base de Dados P1'!C31</f>
        <v>9.2955100000000002</v>
      </c>
      <c r="C31" s="16">
        <f>'Base de Dados P1'!D31</f>
        <v>46425.614155186842</v>
      </c>
      <c r="D31" s="18">
        <f t="shared" si="0"/>
        <v>-5.0532820312500011</v>
      </c>
      <c r="E31" s="19">
        <f t="shared" si="1"/>
        <v>29789.182431465299</v>
      </c>
      <c r="F31" s="48">
        <f t="shared" si="2"/>
        <v>-150533.14030655182</v>
      </c>
      <c r="G31" s="48">
        <f t="shared" si="3"/>
        <v>887395389.93512082</v>
      </c>
      <c r="H31" s="48">
        <f t="shared" si="4"/>
        <v>25.535659287354136</v>
      </c>
      <c r="I31" s="48">
        <f t="shared" si="5"/>
        <v>11.897946208535814</v>
      </c>
      <c r="J31" s="48">
        <f t="shared" si="6"/>
        <v>-2.6024362085358135</v>
      </c>
      <c r="K31" s="49">
        <f t="shared" si="7"/>
        <v>-2.4508458227141876</v>
      </c>
    </row>
    <row r="32" spans="1:18" ht="16.5" thickBot="1" x14ac:dyDescent="0.3">
      <c r="A32" s="26" t="s">
        <v>29</v>
      </c>
      <c r="B32" s="11">
        <f>'Base de Dados P1'!C32</f>
        <v>13.259320000000001</v>
      </c>
      <c r="C32" s="16">
        <f>'Base de Dados P1'!D32</f>
        <v>23225.415578371503</v>
      </c>
      <c r="D32" s="18">
        <f t="shared" si="0"/>
        <v>-1.0894720312500006</v>
      </c>
      <c r="E32" s="19">
        <f t="shared" si="1"/>
        <v>6588.9838546499595</v>
      </c>
      <c r="F32" s="48">
        <f t="shared" si="2"/>
        <v>-7178.5136239989497</v>
      </c>
      <c r="G32" s="48">
        <f t="shared" si="3"/>
        <v>43414708.236837842</v>
      </c>
      <c r="H32" s="48">
        <f t="shared" si="4"/>
        <v>1.1869493068760022</v>
      </c>
      <c r="I32" s="48">
        <f t="shared" si="5"/>
        <v>13.806696470445255</v>
      </c>
      <c r="J32" s="48">
        <f t="shared" si="6"/>
        <v>-0.54737647044525417</v>
      </c>
      <c r="K32" s="49">
        <f t="shared" si="7"/>
        <v>-0.54209556080474641</v>
      </c>
    </row>
    <row r="33" spans="1:25" ht="16.5" thickBot="1" x14ac:dyDescent="0.3">
      <c r="A33" s="26" t="s">
        <v>30</v>
      </c>
      <c r="B33" s="11">
        <f>'Base de Dados P1'!C33</f>
        <v>8.7239500000000003</v>
      </c>
      <c r="C33" s="16">
        <f>'Base de Dados P1'!D33</f>
        <v>30788.538604195335</v>
      </c>
      <c r="D33" s="18">
        <f t="shared" si="0"/>
        <v>-5.6248420312500009</v>
      </c>
      <c r="E33" s="19">
        <f t="shared" si="1"/>
        <v>14152.106880473792</v>
      </c>
      <c r="F33" s="48">
        <f t="shared" si="2"/>
        <v>-79603.36561203131</v>
      </c>
      <c r="G33" s="48">
        <f t="shared" si="3"/>
        <v>200282129.15635362</v>
      </c>
      <c r="H33" s="48">
        <f t="shared" si="4"/>
        <v>31.638847876516635</v>
      </c>
      <c r="I33" s="48">
        <f t="shared" si="5"/>
        <v>13.184455543989522</v>
      </c>
      <c r="J33" s="48">
        <f t="shared" si="6"/>
        <v>-4.4605055439895214</v>
      </c>
      <c r="K33" s="49">
        <f t="shared" si="7"/>
        <v>-1.1643364872604796</v>
      </c>
    </row>
    <row r="34" spans="1:25" ht="16.5" thickBot="1" x14ac:dyDescent="0.3">
      <c r="A34" s="26" t="s">
        <v>31</v>
      </c>
      <c r="B34" s="11">
        <f>'Base de Dados P1'!C34</f>
        <v>9.4575800000000001</v>
      </c>
      <c r="C34" s="16">
        <f>'Base de Dados P1'!D34</f>
        <v>36296.315398505394</v>
      </c>
      <c r="D34" s="18">
        <f t="shared" si="0"/>
        <v>-4.8912120312500011</v>
      </c>
      <c r="E34" s="19">
        <f t="shared" si="1"/>
        <v>19659.88367478385</v>
      </c>
      <c r="F34" s="48">
        <f t="shared" si="2"/>
        <v>-96160.659563078254</v>
      </c>
      <c r="G34" s="48">
        <f t="shared" si="3"/>
        <v>386511026.10603255</v>
      </c>
      <c r="H34" s="48">
        <f t="shared" si="4"/>
        <v>23.923955134644761</v>
      </c>
      <c r="I34" s="48">
        <f t="shared" si="5"/>
        <v>12.731314146778207</v>
      </c>
      <c r="J34" s="48">
        <f t="shared" si="6"/>
        <v>-3.2737341467782066</v>
      </c>
      <c r="K34" s="49">
        <f t="shared" si="7"/>
        <v>-1.6174778844717945</v>
      </c>
    </row>
    <row r="35" spans="1:25" ht="16.5" thickBot="1" x14ac:dyDescent="0.3">
      <c r="A35" s="26" t="s">
        <v>32</v>
      </c>
      <c r="B35" s="11">
        <f>'Base de Dados P1'!C35</f>
        <v>20.555990000000001</v>
      </c>
      <c r="C35" s="16">
        <f>'Base de Dados P1'!D35</f>
        <v>584.9117306765213</v>
      </c>
      <c r="D35" s="18">
        <f t="shared" si="0"/>
        <v>6.2071979687500001</v>
      </c>
      <c r="E35" s="19">
        <f t="shared" si="1"/>
        <v>-16051.519993045022</v>
      </c>
      <c r="F35" s="48">
        <f t="shared" si="2"/>
        <v>-99634.962296179074</v>
      </c>
      <c r="G35" s="48">
        <f t="shared" si="3"/>
        <v>257651294.08712405</v>
      </c>
      <c r="H35" s="48">
        <f t="shared" si="4"/>
        <v>38.529306623254129</v>
      </c>
      <c r="I35" s="48">
        <f t="shared" si="5"/>
        <v>15.669398960079787</v>
      </c>
      <c r="J35" s="48">
        <f t="shared" si="6"/>
        <v>4.8865910399202139</v>
      </c>
      <c r="K35" s="49">
        <f t="shared" si="7"/>
        <v>1.3206069288297861</v>
      </c>
    </row>
    <row r="36" spans="1:25" ht="16.5" thickBot="1" x14ac:dyDescent="0.3">
      <c r="A36" s="26" t="s">
        <v>33</v>
      </c>
      <c r="B36" s="11">
        <f>'Base de Dados P1'!C36</f>
        <v>15.684760000000001</v>
      </c>
      <c r="C36" s="16">
        <f>'Base de Dados P1'!D36</f>
        <v>560.99913794067618</v>
      </c>
      <c r="D36" s="18">
        <f t="shared" si="0"/>
        <v>1.3359679687499995</v>
      </c>
      <c r="E36" s="19">
        <f t="shared" si="1"/>
        <v>-16075.432585780867</v>
      </c>
      <c r="F36" s="48">
        <f t="shared" si="2"/>
        <v>-21476.263018403217</v>
      </c>
      <c r="G36" s="48">
        <f t="shared" si="3"/>
        <v>258419532.81998533</v>
      </c>
      <c r="H36" s="48">
        <f t="shared" si="4"/>
        <v>1.7848104135259995</v>
      </c>
      <c r="I36" s="48">
        <f t="shared" si="5"/>
        <v>15.671366321156304</v>
      </c>
      <c r="J36" s="48">
        <f t="shared" si="6"/>
        <v>1.3393678843696577E-2</v>
      </c>
      <c r="K36" s="49">
        <f t="shared" si="7"/>
        <v>1.3225742899063029</v>
      </c>
    </row>
    <row r="37" spans="1:25" ht="16.5" customHeight="1" thickBot="1" x14ac:dyDescent="0.3">
      <c r="A37" s="26" t="s">
        <v>34</v>
      </c>
      <c r="B37" s="11">
        <f>'Base de Dados P1'!C37</f>
        <v>8.1226400000000005</v>
      </c>
      <c r="C37" s="16">
        <f>'Base de Dados P1'!D37</f>
        <v>8058.7935491835151</v>
      </c>
      <c r="D37" s="18">
        <f t="shared" si="0"/>
        <v>-6.2261520312500007</v>
      </c>
      <c r="E37" s="19">
        <f t="shared" si="1"/>
        <v>-8577.6381745380277</v>
      </c>
      <c r="F37" s="48">
        <f t="shared" si="2"/>
        <v>53405.67934372749</v>
      </c>
      <c r="G37" s="48">
        <f t="shared" si="3"/>
        <v>73575876.653292075</v>
      </c>
      <c r="H37" s="48">
        <f t="shared" si="4"/>
        <v>38.764969116238511</v>
      </c>
      <c r="I37" s="48">
        <f t="shared" si="5"/>
        <v>15.054500176721458</v>
      </c>
      <c r="J37" s="48">
        <f t="shared" si="6"/>
        <v>-6.9318601767214574</v>
      </c>
      <c r="K37" s="49">
        <f t="shared" si="7"/>
        <v>0.70570814547145666</v>
      </c>
      <c r="T37" s="63" t="s">
        <v>131</v>
      </c>
      <c r="U37" s="63"/>
      <c r="V37" s="62"/>
      <c r="W37" s="62"/>
      <c r="X37" s="62" t="s">
        <v>120</v>
      </c>
      <c r="Y37">
        <f>CORREL(C3:C66,B3:B66)</f>
        <v>-0.33807398055722382</v>
      </c>
    </row>
    <row r="38" spans="1:25" ht="16.5" customHeight="1" thickBot="1" x14ac:dyDescent="0.3">
      <c r="A38" s="26" t="s">
        <v>87</v>
      </c>
      <c r="B38" s="11">
        <f>'Base de Dados P1'!C38</f>
        <v>15.67268</v>
      </c>
      <c r="C38" s="16">
        <f>'Base de Dados P1'!D38</f>
        <v>38689.017214191299</v>
      </c>
      <c r="D38" s="18">
        <f t="shared" si="0"/>
        <v>1.3238879687499985</v>
      </c>
      <c r="E38" s="19">
        <f t="shared" si="1"/>
        <v>22052.585490469755</v>
      </c>
      <c r="F38" s="48">
        <f t="shared" si="2"/>
        <v>29195.152610663692</v>
      </c>
      <c r="G38" s="48">
        <f t="shared" si="3"/>
        <v>486316526.81447721</v>
      </c>
      <c r="H38" s="48">
        <f t="shared" si="4"/>
        <v>1.752679353800997</v>
      </c>
      <c r="I38" s="48">
        <f t="shared" si="5"/>
        <v>12.534459356840086</v>
      </c>
      <c r="J38" s="48">
        <f t="shared" si="6"/>
        <v>3.1382206431599133</v>
      </c>
      <c r="K38" s="49">
        <f t="shared" si="7"/>
        <v>-1.8143326744099149</v>
      </c>
      <c r="T38" s="103" t="s">
        <v>159</v>
      </c>
      <c r="U38" s="103"/>
      <c r="V38" s="103"/>
      <c r="W38" s="103"/>
      <c r="X38" s="103"/>
      <c r="Y38" s="103"/>
    </row>
    <row r="39" spans="1:25" ht="16.5" customHeight="1" thickBot="1" x14ac:dyDescent="0.3">
      <c r="A39" s="26" t="s">
        <v>36</v>
      </c>
      <c r="B39" s="11">
        <f>'Base de Dados P1'!C39</f>
        <v>18.406230000000001</v>
      </c>
      <c r="C39" s="16">
        <f>'Base de Dados P1'!D39</f>
        <v>6319.003648503648</v>
      </c>
      <c r="D39" s="18">
        <f t="shared" si="0"/>
        <v>4.0574379687499995</v>
      </c>
      <c r="E39" s="19">
        <f t="shared" si="1"/>
        <v>-10317.428075217897</v>
      </c>
      <c r="F39" s="48">
        <f t="shared" si="2"/>
        <v>-41862.324412236318</v>
      </c>
      <c r="G39" s="48">
        <f t="shared" si="3"/>
        <v>106449322.08729447</v>
      </c>
      <c r="H39" s="48">
        <f t="shared" si="4"/>
        <v>16.462802870254123</v>
      </c>
      <c r="I39" s="48">
        <f t="shared" si="5"/>
        <v>15.197637935546879</v>
      </c>
      <c r="J39" s="48">
        <f t="shared" si="6"/>
        <v>3.2085920644531214</v>
      </c>
      <c r="K39" s="49">
        <f t="shared" si="7"/>
        <v>0.84884590429687812</v>
      </c>
      <c r="T39" s="103"/>
      <c r="U39" s="103"/>
      <c r="V39" s="103"/>
      <c r="W39" s="103"/>
      <c r="X39" s="103"/>
      <c r="Y39" s="103"/>
    </row>
    <row r="40" spans="1:25" ht="16.5" thickBot="1" x14ac:dyDescent="0.3">
      <c r="A40" s="26" t="s">
        <v>37</v>
      </c>
      <c r="B40" s="11">
        <f>'Base de Dados P1'!C40</f>
        <v>16.503910000000001</v>
      </c>
      <c r="C40" s="16">
        <f>'Base de Dados P1'!D40</f>
        <v>498.47514814438102</v>
      </c>
      <c r="D40" s="18">
        <f t="shared" si="0"/>
        <v>2.1551179687499999</v>
      </c>
      <c r="E40" s="19">
        <f t="shared" si="1"/>
        <v>-16137.956575577162</v>
      </c>
      <c r="F40" s="48">
        <f t="shared" si="2"/>
        <v>-34779.200194933561</v>
      </c>
      <c r="G40" s="48">
        <f t="shared" si="3"/>
        <v>260433642.43521416</v>
      </c>
      <c r="H40" s="48">
        <f t="shared" si="4"/>
        <v>4.6445334592291259</v>
      </c>
      <c r="I40" s="48">
        <f t="shared" si="5"/>
        <v>15.676510358243062</v>
      </c>
      <c r="J40" s="48">
        <f t="shared" si="6"/>
        <v>0.82739964175693892</v>
      </c>
      <c r="K40" s="49">
        <f t="shared" si="7"/>
        <v>1.327718326993061</v>
      </c>
      <c r="T40" s="103"/>
      <c r="U40" s="103"/>
      <c r="V40" s="103"/>
      <c r="W40" s="103"/>
      <c r="X40" s="103"/>
      <c r="Y40" s="103"/>
    </row>
    <row r="41" spans="1:25" ht="16.5" thickBot="1" x14ac:dyDescent="0.3">
      <c r="A41" s="26" t="s">
        <v>38</v>
      </c>
      <c r="B41" s="11">
        <f>'Base de Dados P1'!C41</f>
        <v>15.73082</v>
      </c>
      <c r="C41" s="16">
        <f>'Base de Dados P1'!D41</f>
        <v>16227.712111667724</v>
      </c>
      <c r="D41" s="18">
        <f t="shared" si="0"/>
        <v>1.3820279687499983</v>
      </c>
      <c r="E41" s="19">
        <f t="shared" si="1"/>
        <v>-408.71961205381922</v>
      </c>
      <c r="F41" s="48">
        <f t="shared" si="2"/>
        <v>-564.86193523502709</v>
      </c>
      <c r="G41" s="48">
        <f t="shared" si="3"/>
        <v>167051.72127742448</v>
      </c>
      <c r="H41" s="48">
        <f t="shared" si="4"/>
        <v>1.9100013064072463</v>
      </c>
      <c r="I41" s="48">
        <f t="shared" si="5"/>
        <v>14.382418625607468</v>
      </c>
      <c r="J41" s="48">
        <f t="shared" si="6"/>
        <v>1.348401374392532</v>
      </c>
      <c r="K41" s="49">
        <f t="shared" si="7"/>
        <v>3.3626594357466288E-2</v>
      </c>
      <c r="T41" s="103"/>
      <c r="U41" s="103"/>
      <c r="V41" s="103"/>
      <c r="W41" s="103"/>
      <c r="X41" s="103"/>
      <c r="Y41" s="103"/>
    </row>
    <row r="42" spans="1:25" ht="16.5" thickBot="1" x14ac:dyDescent="0.3">
      <c r="A42" s="26" t="s">
        <v>39</v>
      </c>
      <c r="B42" s="11">
        <f>'Base de Dados P1'!C42</f>
        <v>19.319980000000001</v>
      </c>
      <c r="C42" s="16">
        <f>'Base de Dados P1'!D42</f>
        <v>8084.6290001796442</v>
      </c>
      <c r="D42" s="18">
        <f t="shared" si="0"/>
        <v>4.9711879687499998</v>
      </c>
      <c r="E42" s="19">
        <f t="shared" si="1"/>
        <v>-8551.8027235418995</v>
      </c>
      <c r="F42" s="48">
        <f t="shared" si="2"/>
        <v>-42512.618810394968</v>
      </c>
      <c r="G42" s="48">
        <f t="shared" si="3"/>
        <v>73133329.82237865</v>
      </c>
      <c r="H42" s="48">
        <f t="shared" si="4"/>
        <v>24.712709820644751</v>
      </c>
      <c r="I42" s="48">
        <f t="shared" si="5"/>
        <v>15.052374616300407</v>
      </c>
      <c r="J42" s="48">
        <f t="shared" si="6"/>
        <v>4.2676053836995944</v>
      </c>
      <c r="K42" s="49">
        <f t="shared" si="7"/>
        <v>0.70358258505040538</v>
      </c>
    </row>
    <row r="43" spans="1:25" ht="16.5" thickBot="1" x14ac:dyDescent="0.3">
      <c r="A43" s="26" t="s">
        <v>40</v>
      </c>
      <c r="B43" s="11">
        <f>'Base de Dados P1'!C43</f>
        <v>22.336099999999998</v>
      </c>
      <c r="C43" s="16">
        <f>'Base de Dados P1'!D43</f>
        <v>983.1659406832938</v>
      </c>
      <c r="D43" s="18">
        <f t="shared" si="0"/>
        <v>7.987307968749997</v>
      </c>
      <c r="E43" s="19">
        <f t="shared" si="1"/>
        <v>-15653.26578303825</v>
      </c>
      <c r="F43" s="48">
        <f t="shared" si="2"/>
        <v>-125027.45452582308</v>
      </c>
      <c r="G43" s="48">
        <f t="shared" si="3"/>
        <v>245024729.67443609</v>
      </c>
      <c r="H43" s="48">
        <f t="shared" si="4"/>
        <v>63.797088587657207</v>
      </c>
      <c r="I43" s="48">
        <f t="shared" si="5"/>
        <v>15.636633385891271</v>
      </c>
      <c r="J43" s="48">
        <f t="shared" si="6"/>
        <v>6.6994666141087276</v>
      </c>
      <c r="K43" s="49">
        <f t="shared" si="7"/>
        <v>1.2878413546412695</v>
      </c>
      <c r="T43" s="63" t="s">
        <v>155</v>
      </c>
    </row>
    <row r="44" spans="1:25" ht="16.5" thickBot="1" x14ac:dyDescent="0.3">
      <c r="A44" s="26" t="s">
        <v>41</v>
      </c>
      <c r="B44" s="11">
        <f>'Base de Dados P1'!C44</f>
        <v>14.71114</v>
      </c>
      <c r="C44" s="16">
        <f>'Base de Dados P1'!D44</f>
        <v>1273.2104024846064</v>
      </c>
      <c r="D44" s="18">
        <f t="shared" si="0"/>
        <v>0.36234796874999908</v>
      </c>
      <c r="E44" s="19">
        <f t="shared" si="1"/>
        <v>-15363.221321236937</v>
      </c>
      <c r="F44" s="48">
        <f t="shared" si="2"/>
        <v>-5566.8320392068808</v>
      </c>
      <c r="G44" s="48">
        <f t="shared" si="3"/>
        <v>236028569.36530921</v>
      </c>
      <c r="H44" s="48">
        <f t="shared" si="4"/>
        <v>0.13129605045725032</v>
      </c>
      <c r="I44" s="48">
        <f t="shared" si="5"/>
        <v>15.612770553829916</v>
      </c>
      <c r="J44" s="48">
        <f t="shared" si="6"/>
        <v>-0.90163055382991608</v>
      </c>
      <c r="K44" s="49">
        <f t="shared" si="7"/>
        <v>1.2639785225799152</v>
      </c>
      <c r="T44" s="105" t="s">
        <v>160</v>
      </c>
      <c r="U44" s="105"/>
      <c r="V44" s="105"/>
      <c r="W44" s="105"/>
      <c r="X44" s="105"/>
      <c r="Y44" s="105"/>
    </row>
    <row r="45" spans="1:25" ht="16.5" thickBot="1" x14ac:dyDescent="0.3">
      <c r="A45" s="26" t="s">
        <v>42</v>
      </c>
      <c r="B45" s="11">
        <f>'Base de Dados P1'!C45</f>
        <v>26.193249999999999</v>
      </c>
      <c r="C45" s="16">
        <f>'Base de Dados P1'!D45</f>
        <v>4149.9056475064735</v>
      </c>
      <c r="D45" s="18">
        <f t="shared" si="0"/>
        <v>11.844457968749998</v>
      </c>
      <c r="E45" s="19">
        <f t="shared" si="1"/>
        <v>-12486.52607621507</v>
      </c>
      <c r="F45" s="48">
        <f t="shared" si="2"/>
        <v>-147896.13328543023</v>
      </c>
      <c r="G45" s="48">
        <f t="shared" si="3"/>
        <v>155913333.45199892</v>
      </c>
      <c r="H45" s="48">
        <f t="shared" si="4"/>
        <v>140.29118457348531</v>
      </c>
      <c r="I45" s="48">
        <f t="shared" si="5"/>
        <v>15.376096165712552</v>
      </c>
      <c r="J45" s="48">
        <f t="shared" si="6"/>
        <v>10.817153834287447</v>
      </c>
      <c r="K45" s="49">
        <f t="shared" si="7"/>
        <v>1.0273041344625504</v>
      </c>
      <c r="T45" s="105"/>
      <c r="U45" s="105"/>
      <c r="V45" s="105"/>
      <c r="W45" s="105"/>
      <c r="X45" s="105"/>
      <c r="Y45" s="105"/>
    </row>
    <row r="46" spans="1:25" ht="16.5" thickBot="1" x14ac:dyDescent="0.3">
      <c r="A46" s="26" t="s">
        <v>43</v>
      </c>
      <c r="B46" s="11">
        <f>'Base de Dados P1'!C46</f>
        <v>20.81352</v>
      </c>
      <c r="C46" s="16">
        <f>'Base de Dados P1'!D46</f>
        <v>376.34220962776061</v>
      </c>
      <c r="D46" s="18">
        <f t="shared" si="0"/>
        <v>6.4647279687499992</v>
      </c>
      <c r="E46" s="19">
        <f t="shared" si="1"/>
        <v>-16260.089514093783</v>
      </c>
      <c r="F46" s="48">
        <f t="shared" si="2"/>
        <v>-105117.05545614066</v>
      </c>
      <c r="G46" s="48">
        <f t="shared" si="3"/>
        <v>264390511.00634259</v>
      </c>
      <c r="H46" s="48">
        <f t="shared" si="4"/>
        <v>41.79270770993849</v>
      </c>
      <c r="I46" s="48">
        <f t="shared" si="5"/>
        <v>15.686558603201377</v>
      </c>
      <c r="J46" s="48">
        <f t="shared" si="6"/>
        <v>5.1269613967986238</v>
      </c>
      <c r="K46" s="49">
        <f t="shared" si="7"/>
        <v>1.3377665719513754</v>
      </c>
      <c r="T46" s="78"/>
      <c r="U46" s="79" t="s">
        <v>71</v>
      </c>
      <c r="V46" s="79" t="s">
        <v>70</v>
      </c>
      <c r="W46" s="61"/>
      <c r="X46" s="61"/>
      <c r="Y46" s="61"/>
    </row>
    <row r="47" spans="1:25" ht="16.5" thickBot="1" x14ac:dyDescent="0.3">
      <c r="A47" s="26" t="s">
        <v>44</v>
      </c>
      <c r="B47" s="11">
        <f>'Base de Dados P1'!C47</f>
        <v>11.52436</v>
      </c>
      <c r="C47" s="16">
        <f>'Base de Dados P1'!D47</f>
        <v>43676.329041344754</v>
      </c>
      <c r="D47" s="18">
        <f t="shared" si="0"/>
        <v>-2.8244320312500015</v>
      </c>
      <c r="E47" s="19">
        <f t="shared" si="1"/>
        <v>27039.89731762321</v>
      </c>
      <c r="F47" s="48">
        <f t="shared" si="2"/>
        <v>-76372.352105605998</v>
      </c>
      <c r="G47" s="48">
        <f t="shared" si="3"/>
        <v>731156046.94760692</v>
      </c>
      <c r="H47" s="48">
        <f t="shared" si="4"/>
        <v>7.9774162991510096</v>
      </c>
      <c r="I47" s="48">
        <f t="shared" si="5"/>
        <v>12.1241381811491</v>
      </c>
      <c r="J47" s="48">
        <f t="shared" si="6"/>
        <v>-0.59977818114909986</v>
      </c>
      <c r="K47" s="49">
        <f t="shared" si="7"/>
        <v>-2.2246538501009017</v>
      </c>
      <c r="T47" s="78" t="s">
        <v>102</v>
      </c>
      <c r="U47" s="65">
        <v>8.1226400000000005</v>
      </c>
      <c r="V47" s="65">
        <v>150.74274826347758</v>
      </c>
      <c r="W47" s="61"/>
      <c r="X47" s="61"/>
      <c r="Y47" s="61"/>
    </row>
    <row r="48" spans="1:25" ht="16.5" thickBot="1" x14ac:dyDescent="0.3">
      <c r="A48" s="26" t="s">
        <v>45</v>
      </c>
      <c r="B48" s="11">
        <f>'Base de Dados P1'!C48</f>
        <v>15.30602</v>
      </c>
      <c r="C48" s="16">
        <f>'Base de Dados P1'!D48</f>
        <v>66117.006972817806</v>
      </c>
      <c r="D48" s="18">
        <f t="shared" si="0"/>
        <v>0.95722796874999894</v>
      </c>
      <c r="E48" s="19">
        <f t="shared" si="1"/>
        <v>49480.575249096262</v>
      </c>
      <c r="F48" s="48">
        <f t="shared" si="2"/>
        <v>47364.190538273884</v>
      </c>
      <c r="G48" s="48">
        <f t="shared" si="3"/>
        <v>2448327326.9814777</v>
      </c>
      <c r="H48" s="48">
        <f t="shared" si="4"/>
        <v>0.91628538415724892</v>
      </c>
      <c r="I48" s="48">
        <f t="shared" si="5"/>
        <v>10.277875971913979</v>
      </c>
      <c r="J48" s="48">
        <f t="shared" si="6"/>
        <v>5.0281440280860217</v>
      </c>
      <c r="K48" s="49">
        <f t="shared" si="7"/>
        <v>-4.0709160593360227</v>
      </c>
      <c r="T48" s="78" t="s">
        <v>104</v>
      </c>
      <c r="U48" s="65">
        <v>13.599685000000001</v>
      </c>
      <c r="V48" s="65">
        <v>8346.9484545104679</v>
      </c>
      <c r="W48" s="61"/>
    </row>
    <row r="49" spans="1:25" ht="16.5" thickBot="1" x14ac:dyDescent="0.3">
      <c r="A49" s="26" t="s">
        <v>46</v>
      </c>
      <c r="B49" s="11">
        <f>'Base de Dados P1'!C49</f>
        <v>11.108919999999999</v>
      </c>
      <c r="C49" s="16">
        <f>'Base de Dados P1'!D49</f>
        <v>10066.293397443815</v>
      </c>
      <c r="D49" s="18">
        <f t="shared" si="0"/>
        <v>-3.2398720312500018</v>
      </c>
      <c r="E49" s="19">
        <f t="shared" si="1"/>
        <v>-6570.138326277729</v>
      </c>
      <c r="F49" s="48">
        <f t="shared" si="2"/>
        <v>21286.407404750913</v>
      </c>
      <c r="G49" s="48">
        <f t="shared" si="3"/>
        <v>43166717.626423515</v>
      </c>
      <c r="H49" s="48">
        <f t="shared" si="4"/>
        <v>10.496770778876012</v>
      </c>
      <c r="I49" s="48">
        <f t="shared" si="5"/>
        <v>14.889337113635468</v>
      </c>
      <c r="J49" s="48">
        <f t="shared" si="6"/>
        <v>-3.780417113635469</v>
      </c>
      <c r="K49" s="49">
        <f t="shared" si="7"/>
        <v>0.54054508238546717</v>
      </c>
      <c r="T49" s="78" t="s">
        <v>106</v>
      </c>
      <c r="U49" s="65">
        <v>26.193249999999999</v>
      </c>
      <c r="V49" s="65">
        <v>66117.006972817806</v>
      </c>
      <c r="W49" s="61"/>
      <c r="X49" s="61"/>
      <c r="Y49" s="61"/>
    </row>
    <row r="50" spans="1:25" ht="16.5" customHeight="1" thickBot="1" x14ac:dyDescent="0.3">
      <c r="A50" s="26" t="s">
        <v>47</v>
      </c>
      <c r="B50" s="11">
        <f>'Base de Dados P1'!C50</f>
        <v>10.42656</v>
      </c>
      <c r="C50" s="16">
        <f>'Base de Dados P1'!D50</f>
        <v>19240.681780251747</v>
      </c>
      <c r="D50" s="18">
        <f t="shared" si="0"/>
        <v>-3.922232031250001</v>
      </c>
      <c r="E50" s="19">
        <f t="shared" si="1"/>
        <v>2604.2500565302034</v>
      </c>
      <c r="F50" s="48">
        <f t="shared" si="2"/>
        <v>-10214.472989107389</v>
      </c>
      <c r="G50" s="48">
        <f t="shared" si="3"/>
        <v>6782118.3569375677</v>
      </c>
      <c r="H50" s="48">
        <f t="shared" si="4"/>
        <v>15.383904106963509</v>
      </c>
      <c r="I50" s="48">
        <f t="shared" si="5"/>
        <v>14.134532529934903</v>
      </c>
      <c r="J50" s="48">
        <f t="shared" si="6"/>
        <v>-3.7079725299349029</v>
      </c>
      <c r="K50" s="49">
        <f t="shared" si="7"/>
        <v>-0.21425950131509808</v>
      </c>
      <c r="T50" s="78" t="s">
        <v>107</v>
      </c>
      <c r="U50" s="65">
        <v>14.348792031250001</v>
      </c>
      <c r="V50" s="65">
        <v>16636.431723721544</v>
      </c>
    </row>
    <row r="51" spans="1:25" ht="16.5" customHeight="1" thickBot="1" x14ac:dyDescent="0.3">
      <c r="A51" s="26" t="s">
        <v>48</v>
      </c>
      <c r="B51" s="11">
        <f>'Base de Dados P1'!C51</f>
        <v>9.12913</v>
      </c>
      <c r="C51" s="16">
        <f>'Base de Dados P1'!D51</f>
        <v>5634.8940223347727</v>
      </c>
      <c r="D51" s="18">
        <f t="shared" si="0"/>
        <v>-5.2196620312500013</v>
      </c>
      <c r="E51" s="19">
        <f t="shared" si="1"/>
        <v>-11001.537701386771</v>
      </c>
      <c r="F51" s="48">
        <f t="shared" si="2"/>
        <v>57424.308625293947</v>
      </c>
      <c r="G51" s="48">
        <f t="shared" si="3"/>
        <v>121033831.79503451</v>
      </c>
      <c r="H51" s="48">
        <f t="shared" si="4"/>
        <v>27.24487172047289</v>
      </c>
      <c r="I51" s="48">
        <f t="shared" si="5"/>
        <v>15.253921696386303</v>
      </c>
      <c r="J51" s="48">
        <f t="shared" si="6"/>
        <v>-6.1247916963863034</v>
      </c>
      <c r="K51" s="49">
        <f t="shared" si="7"/>
        <v>0.90512966513630211</v>
      </c>
      <c r="W51" s="67"/>
      <c r="X51" s="67"/>
      <c r="Y51" s="67"/>
    </row>
    <row r="52" spans="1:25" ht="16.5" customHeight="1" thickBot="1" x14ac:dyDescent="0.3">
      <c r="A52" s="26" t="s">
        <v>49</v>
      </c>
      <c r="B52" s="11">
        <f>'Base de Dados P1'!C52</f>
        <v>20.723179999999999</v>
      </c>
      <c r="C52" s="16">
        <f>'Base de Dados P1'!D52</f>
        <v>800.43110309938504</v>
      </c>
      <c r="D52" s="18">
        <f t="shared" si="0"/>
        <v>6.374387968749998</v>
      </c>
      <c r="E52" s="19">
        <f t="shared" si="1"/>
        <v>-15836.000620622159</v>
      </c>
      <c r="F52" s="48">
        <f t="shared" si="2"/>
        <v>-100944.81182921139</v>
      </c>
      <c r="G52" s="48">
        <f t="shared" si="3"/>
        <v>250778915.6563454</v>
      </c>
      <c r="H52" s="48">
        <f t="shared" si="4"/>
        <v>40.632821976144726</v>
      </c>
      <c r="I52" s="48">
        <f t="shared" si="5"/>
        <v>15.651667531738921</v>
      </c>
      <c r="J52" s="48">
        <f t="shared" si="6"/>
        <v>5.0715124682610782</v>
      </c>
      <c r="K52" s="49">
        <f t="shared" si="7"/>
        <v>1.3028755004889199</v>
      </c>
      <c r="W52" s="68"/>
      <c r="X52" s="67"/>
      <c r="Y52" s="67"/>
    </row>
    <row r="53" spans="1:25" ht="13.5" customHeight="1" thickBot="1" x14ac:dyDescent="0.3">
      <c r="A53" s="26" t="s">
        <v>50</v>
      </c>
      <c r="B53" s="11">
        <f>'Base de Dados P1'!C53</f>
        <v>10.51355</v>
      </c>
      <c r="C53" s="16">
        <f>'Base de Dados P1'!D53</f>
        <v>4106.5704446375339</v>
      </c>
      <c r="D53" s="18">
        <f t="shared" si="0"/>
        <v>-3.8352420312500008</v>
      </c>
      <c r="E53" s="19">
        <f t="shared" si="1"/>
        <v>-12529.861279084009</v>
      </c>
      <c r="F53" s="48">
        <f t="shared" si="2"/>
        <v>48055.050623274888</v>
      </c>
      <c r="G53" s="48">
        <f t="shared" si="3"/>
        <v>156997423.67308876</v>
      </c>
      <c r="H53" s="48">
        <f t="shared" si="4"/>
        <v>14.709081438266633</v>
      </c>
      <c r="I53" s="48">
        <f t="shared" si="5"/>
        <v>15.379661483464126</v>
      </c>
      <c r="J53" s="48">
        <f t="shared" si="6"/>
        <v>-4.8661114834641257</v>
      </c>
      <c r="K53" s="49">
        <f t="shared" si="7"/>
        <v>1.0308694522141248</v>
      </c>
      <c r="W53" s="68"/>
      <c r="X53" s="67"/>
      <c r="Y53" s="67"/>
    </row>
    <row r="54" spans="1:25" ht="16.5" thickBot="1" x14ac:dyDescent="0.3">
      <c r="A54" s="26" t="s">
        <v>51</v>
      </c>
      <c r="B54" s="11">
        <f>'Base de Dados P1'!C54</f>
        <v>16.55659</v>
      </c>
      <c r="C54" s="16">
        <f>'Base de Dados P1'!D54</f>
        <v>34758.404334915271</v>
      </c>
      <c r="D54" s="18">
        <f t="shared" si="0"/>
        <v>2.2077979687499987</v>
      </c>
      <c r="E54" s="19">
        <f t="shared" si="1"/>
        <v>18121.972611193727</v>
      </c>
      <c r="F54" s="48">
        <f t="shared" si="2"/>
        <v>40009.654320736619</v>
      </c>
      <c r="G54" s="48">
        <f t="shared" si="3"/>
        <v>328405891.32085562</v>
      </c>
      <c r="H54" s="48">
        <f t="shared" si="4"/>
        <v>4.8743718708166197</v>
      </c>
      <c r="I54" s="48">
        <f t="shared" si="5"/>
        <v>12.857842725216953</v>
      </c>
      <c r="J54" s="48">
        <f t="shared" si="6"/>
        <v>3.698747274783047</v>
      </c>
      <c r="K54" s="49">
        <f t="shared" si="7"/>
        <v>-1.4909493060330483</v>
      </c>
      <c r="T54" s="63" t="s">
        <v>126</v>
      </c>
      <c r="U54" s="60"/>
    </row>
    <row r="55" spans="1:25" ht="16.5" customHeight="1" thickBot="1" x14ac:dyDescent="0.3">
      <c r="A55" s="26" t="s">
        <v>52</v>
      </c>
      <c r="B55" s="11">
        <f>'Base de Dados P1'!C55</f>
        <v>9.8575300000000006</v>
      </c>
      <c r="C55" s="16">
        <f>'Base de Dados P1'!D55</f>
        <v>14582.836060850364</v>
      </c>
      <c r="D55" s="18">
        <f t="shared" si="0"/>
        <v>-4.4912620312500007</v>
      </c>
      <c r="E55" s="19">
        <f t="shared" si="1"/>
        <v>-2053.5956628711792</v>
      </c>
      <c r="F55" s="48">
        <f t="shared" si="2"/>
        <v>9223.2362281930036</v>
      </c>
      <c r="G55" s="48">
        <f t="shared" si="3"/>
        <v>4217255.1465633176</v>
      </c>
      <c r="H55" s="48">
        <f t="shared" si="4"/>
        <v>20.171434633347882</v>
      </c>
      <c r="I55" s="48">
        <f t="shared" si="5"/>
        <v>14.51774753593601</v>
      </c>
      <c r="J55" s="48">
        <f t="shared" si="6"/>
        <v>-4.6602175359360096</v>
      </c>
      <c r="K55" s="49">
        <f t="shared" si="7"/>
        <v>0.16895550468600895</v>
      </c>
      <c r="T55" s="61" t="s">
        <v>127</v>
      </c>
      <c r="U55" s="61"/>
      <c r="V55" s="61"/>
    </row>
    <row r="56" spans="1:25" ht="16.5" thickBot="1" x14ac:dyDescent="0.3">
      <c r="A56" s="26" t="s">
        <v>53</v>
      </c>
      <c r="B56" s="11">
        <f>'Base de Dados P1'!C56</f>
        <v>12.08019</v>
      </c>
      <c r="C56" s="16">
        <f>'Base de Dados P1'!D56</f>
        <v>19327.423693832985</v>
      </c>
      <c r="D56" s="18">
        <f t="shared" si="0"/>
        <v>-2.2686020312500013</v>
      </c>
      <c r="E56" s="19">
        <f t="shared" si="1"/>
        <v>2690.9919701114413</v>
      </c>
      <c r="F56" s="48">
        <f t="shared" si="2"/>
        <v>-6104.7898494722585</v>
      </c>
      <c r="G56" s="48">
        <f t="shared" si="3"/>
        <v>7241437.7832042566</v>
      </c>
      <c r="H56" s="48">
        <f t="shared" si="4"/>
        <v>5.1465551761916313</v>
      </c>
      <c r="I56" s="48">
        <f t="shared" si="5"/>
        <v>14.127396011265956</v>
      </c>
      <c r="J56" s="48">
        <f t="shared" si="6"/>
        <v>-2.0472060112659562</v>
      </c>
      <c r="K56" s="49">
        <f t="shared" si="7"/>
        <v>-0.22139601998404501</v>
      </c>
      <c r="T56" s="61" t="s">
        <v>125</v>
      </c>
      <c r="U56" s="61"/>
      <c r="V56" s="61"/>
    </row>
    <row r="57" spans="1:25" ht="16.5" thickBot="1" x14ac:dyDescent="0.3">
      <c r="A57" s="26" t="s">
        <v>54</v>
      </c>
      <c r="B57" s="11">
        <f>'Base de Dados P1'!C57</f>
        <v>18.044370000000001</v>
      </c>
      <c r="C57" s="16">
        <f>'Base de Dados P1'!D57</f>
        <v>5910.668523021287</v>
      </c>
      <c r="D57" s="18">
        <f t="shared" si="0"/>
        <v>3.6955779687499994</v>
      </c>
      <c r="E57" s="19">
        <f t="shared" si="1"/>
        <v>-10725.763200700258</v>
      </c>
      <c r="F57" s="48">
        <f t="shared" si="2"/>
        <v>-39637.894182537348</v>
      </c>
      <c r="G57" s="48">
        <f t="shared" si="3"/>
        <v>115041996.23749584</v>
      </c>
      <c r="H57" s="48">
        <f t="shared" si="4"/>
        <v>13.657296523110372</v>
      </c>
      <c r="I57" s="48">
        <f t="shared" si="5"/>
        <v>15.231232897035277</v>
      </c>
      <c r="J57" s="48">
        <f t="shared" si="6"/>
        <v>2.8131371029647241</v>
      </c>
      <c r="K57" s="49">
        <f t="shared" si="7"/>
        <v>0.88244086578527536</v>
      </c>
      <c r="T57" s="61" t="s">
        <v>161</v>
      </c>
      <c r="U57" s="61"/>
      <c r="V57" s="61"/>
    </row>
    <row r="58" spans="1:25" ht="16.5" thickBot="1" x14ac:dyDescent="0.3">
      <c r="A58" s="26" t="s">
        <v>55</v>
      </c>
      <c r="B58" s="11">
        <f>'Base de Dados P1'!C58</f>
        <v>10.563980000000001</v>
      </c>
      <c r="C58" s="16">
        <f>'Base de Dados P1'!D58</f>
        <v>26191.985807810932</v>
      </c>
      <c r="D58" s="18">
        <f t="shared" si="0"/>
        <v>-3.7848120312500004</v>
      </c>
      <c r="E58" s="19">
        <f t="shared" si="1"/>
        <v>9555.5540840893882</v>
      </c>
      <c r="F58" s="48">
        <f t="shared" si="2"/>
        <v>-36165.976062721595</v>
      </c>
      <c r="G58" s="48">
        <f t="shared" si="3"/>
        <v>91308613.853957385</v>
      </c>
      <c r="H58" s="48">
        <f t="shared" si="4"/>
        <v>14.324802111894755</v>
      </c>
      <c r="I58" s="48">
        <f t="shared" si="5"/>
        <v>13.562627796478218</v>
      </c>
      <c r="J58" s="48">
        <f t="shared" si="6"/>
        <v>-2.9986477964782168</v>
      </c>
      <c r="K58" s="49">
        <f t="shared" si="7"/>
        <v>-0.78616423477178365</v>
      </c>
      <c r="T58" s="61" t="s">
        <v>128</v>
      </c>
      <c r="U58" s="61"/>
      <c r="V58" s="64">
        <v>10</v>
      </c>
    </row>
    <row r="59" spans="1:25" ht="16.5" customHeight="1" thickBot="1" x14ac:dyDescent="0.3">
      <c r="A59" s="26" t="s">
        <v>56</v>
      </c>
      <c r="B59" s="11">
        <f>'Base de Dados P1'!C59</f>
        <v>8.6056600000000003</v>
      </c>
      <c r="C59" s="16">
        <f>'Base de Dados P1'!D59</f>
        <v>1610.1160513802852</v>
      </c>
      <c r="D59" s="18">
        <f t="shared" si="0"/>
        <v>-5.7431320312500009</v>
      </c>
      <c r="E59" s="19">
        <f t="shared" si="1"/>
        <v>-15026.315672341258</v>
      </c>
      <c r="F59" s="48">
        <f t="shared" si="2"/>
        <v>86298.114849496968</v>
      </c>
      <c r="G59" s="48">
        <f t="shared" si="3"/>
        <v>225790162.68484849</v>
      </c>
      <c r="H59" s="48">
        <f t="shared" si="4"/>
        <v>32.983565528369759</v>
      </c>
      <c r="I59" s="48">
        <f t="shared" si="5"/>
        <v>15.585052310667505</v>
      </c>
      <c r="J59" s="48">
        <f t="shared" si="6"/>
        <v>-6.9793923106675049</v>
      </c>
      <c r="K59" s="49">
        <f t="shared" si="7"/>
        <v>1.2362602794175039</v>
      </c>
      <c r="T59" s="61" t="s">
        <v>129</v>
      </c>
      <c r="U59" s="61"/>
      <c r="V59" s="61">
        <f>N4+N5*V58</f>
        <v>15.716698680936499</v>
      </c>
    </row>
    <row r="60" spans="1:25" ht="16.5" thickBot="1" x14ac:dyDescent="0.3">
      <c r="A60" s="26" t="s">
        <v>57</v>
      </c>
      <c r="B60" s="11">
        <f>'Base de Dados P1'!C60</f>
        <v>13.34554</v>
      </c>
      <c r="C60" s="16">
        <f>'Base de Dados P1'!D60</f>
        <v>44877.910174216042</v>
      </c>
      <c r="D60" s="18">
        <f t="shared" si="0"/>
        <v>-1.0032520312500015</v>
      </c>
      <c r="E60" s="19">
        <f t="shared" si="1"/>
        <v>28241.478450494498</v>
      </c>
      <c r="F60" s="48">
        <f t="shared" si="2"/>
        <v>-28333.320620961749</v>
      </c>
      <c r="G60" s="48">
        <f t="shared" si="3"/>
        <v>797581105.06974518</v>
      </c>
      <c r="H60" s="48">
        <f t="shared" si="4"/>
        <v>1.0065146382072541</v>
      </c>
      <c r="I60" s="48">
        <f t="shared" si="5"/>
        <v>12.025280479803151</v>
      </c>
      <c r="J60" s="48">
        <f t="shared" si="6"/>
        <v>1.3202595201968492</v>
      </c>
      <c r="K60" s="49">
        <f t="shared" si="7"/>
        <v>-2.3235115514468507</v>
      </c>
      <c r="T60" s="61" t="s">
        <v>133</v>
      </c>
      <c r="V60" s="66">
        <f>V59-N4</f>
        <v>-8.2273013982536725E-4</v>
      </c>
    </row>
    <row r="61" spans="1:25" ht="16.5" customHeight="1" thickBot="1" x14ac:dyDescent="0.3">
      <c r="A61" s="26" t="s">
        <v>58</v>
      </c>
      <c r="B61" s="11">
        <f>'Base de Dados P1'!C61</f>
        <v>15.33145</v>
      </c>
      <c r="C61" s="16">
        <f>'Base de Dados P1'!D61</f>
        <v>417.11051385520199</v>
      </c>
      <c r="D61" s="18">
        <f t="shared" si="0"/>
        <v>0.982657968749999</v>
      </c>
      <c r="E61" s="19">
        <f t="shared" si="1"/>
        <v>-16219.321209866343</v>
      </c>
      <c r="F61" s="48">
        <f t="shared" si="2"/>
        <v>-15938.045234591036</v>
      </c>
      <c r="G61" s="48">
        <f t="shared" si="3"/>
        <v>263066380.50882021</v>
      </c>
      <c r="H61" s="48">
        <f t="shared" si="4"/>
        <v>0.965616683547874</v>
      </c>
      <c r="I61" s="48">
        <f t="shared" si="5"/>
        <v>15.683204471937627</v>
      </c>
      <c r="J61" s="48">
        <f t="shared" si="6"/>
        <v>-0.35175447193762643</v>
      </c>
      <c r="K61" s="49">
        <f t="shared" si="7"/>
        <v>1.3344124406876254</v>
      </c>
      <c r="T61" s="106" t="s">
        <v>130</v>
      </c>
      <c r="U61" s="106"/>
      <c r="V61" s="106"/>
      <c r="W61" s="106"/>
      <c r="X61" s="106"/>
    </row>
    <row r="62" spans="1:25" ht="17.25" customHeight="1" thickBot="1" x14ac:dyDescent="0.3">
      <c r="A62" s="26" t="s">
        <v>59</v>
      </c>
      <c r="B62" s="11">
        <f>'Base de Dados P1'!C62</f>
        <v>19.648009999999999</v>
      </c>
      <c r="C62" s="16">
        <f>'Base de Dados P1'!D62</f>
        <v>520.69181227892</v>
      </c>
      <c r="D62" s="18">
        <f t="shared" si="0"/>
        <v>5.2992179687499981</v>
      </c>
      <c r="E62" s="19">
        <f t="shared" si="1"/>
        <v>-16115.739911442624</v>
      </c>
      <c r="F62" s="48">
        <f t="shared" si="2"/>
        <v>-85400.818518418251</v>
      </c>
      <c r="G62" s="48">
        <f t="shared" si="3"/>
        <v>259717072.89326474</v>
      </c>
      <c r="H62" s="48">
        <f t="shared" si="4"/>
        <v>28.081711080322854</v>
      </c>
      <c r="I62" s="48">
        <f t="shared" si="5"/>
        <v>15.674682526324075</v>
      </c>
      <c r="J62" s="48">
        <f t="shared" si="6"/>
        <v>3.9733274736759245</v>
      </c>
      <c r="K62" s="49">
        <f t="shared" si="7"/>
        <v>1.3258904950740735</v>
      </c>
      <c r="T62" s="106"/>
      <c r="U62" s="106"/>
      <c r="V62" s="106"/>
      <c r="W62" s="106"/>
      <c r="X62" s="106"/>
    </row>
    <row r="63" spans="1:25" ht="16.5" thickBot="1" x14ac:dyDescent="0.3">
      <c r="A63" s="26" t="s">
        <v>60</v>
      </c>
      <c r="B63" s="11">
        <f>'Base de Dados P1'!C63</f>
        <v>19.615760000000002</v>
      </c>
      <c r="C63" s="16">
        <f>'Base de Dados P1'!D63</f>
        <v>392.85505648182601</v>
      </c>
      <c r="D63" s="18">
        <f t="shared" si="0"/>
        <v>5.2669679687500004</v>
      </c>
      <c r="E63" s="19">
        <f t="shared" si="1"/>
        <v>-16243.576667239719</v>
      </c>
      <c r="F63" s="48">
        <f t="shared" si="2"/>
        <v>-85554.398004286486</v>
      </c>
      <c r="G63" s="48">
        <f t="shared" si="3"/>
        <v>263853782.94449461</v>
      </c>
      <c r="H63" s="48">
        <f t="shared" si="4"/>
        <v>27.740951583838505</v>
      </c>
      <c r="I63" s="48">
        <f t="shared" si="5"/>
        <v>15.685200041521259</v>
      </c>
      <c r="J63" s="48">
        <f t="shared" si="6"/>
        <v>3.9305599584787423</v>
      </c>
      <c r="K63" s="49">
        <f t="shared" si="7"/>
        <v>1.3364080102712581</v>
      </c>
      <c r="T63" s="61" t="s">
        <v>132</v>
      </c>
      <c r="U63" s="68"/>
      <c r="V63" s="68"/>
      <c r="W63" s="68"/>
      <c r="X63" s="68"/>
    </row>
    <row r="64" spans="1:25" ht="17.25" customHeight="1" thickBot="1" x14ac:dyDescent="0.3">
      <c r="A64" s="26" t="s">
        <v>61</v>
      </c>
      <c r="B64" s="11">
        <f>'Base de Dados P1'!C64</f>
        <v>13.517569999999999</v>
      </c>
      <c r="C64" s="16">
        <f>'Base de Dados P1'!D64</f>
        <v>390.58213659556606</v>
      </c>
      <c r="D64" s="18">
        <f t="shared" si="0"/>
        <v>-0.83122203125000205</v>
      </c>
      <c r="E64" s="19">
        <f t="shared" si="1"/>
        <v>-16245.849587125978</v>
      </c>
      <c r="F64" s="48">
        <f t="shared" si="2"/>
        <v>13503.908093192862</v>
      </c>
      <c r="G64" s="48">
        <f t="shared" si="3"/>
        <v>263927628.80752131</v>
      </c>
      <c r="H64" s="48">
        <f t="shared" si="4"/>
        <v>0.69093006523537936</v>
      </c>
      <c r="I64" s="48">
        <f t="shared" si="5"/>
        <v>15.685387041490843</v>
      </c>
      <c r="J64" s="48">
        <f t="shared" si="6"/>
        <v>-2.167817041490844</v>
      </c>
      <c r="K64" s="49">
        <f t="shared" si="7"/>
        <v>1.3365950102408419</v>
      </c>
      <c r="T64" s="103" t="s">
        <v>134</v>
      </c>
      <c r="U64" s="103"/>
      <c r="V64" s="103"/>
      <c r="W64" s="103"/>
      <c r="X64" s="103"/>
    </row>
    <row r="65" spans="1:25" ht="17.25" customHeight="1" thickBot="1" x14ac:dyDescent="0.3">
      <c r="A65" s="26" t="s">
        <v>62</v>
      </c>
      <c r="B65" s="11">
        <f>'Base de Dados P1'!C65</f>
        <v>12.960369999999999</v>
      </c>
      <c r="C65" s="16">
        <f>'Base de Dados P1'!D65</f>
        <v>39471.731251428864</v>
      </c>
      <c r="D65" s="18">
        <f t="shared" si="0"/>
        <v>-1.388422031250002</v>
      </c>
      <c r="E65" s="19">
        <f t="shared" si="1"/>
        <v>22835.299527707321</v>
      </c>
      <c r="F65" s="48">
        <f t="shared" si="2"/>
        <v>-31705.032954461607</v>
      </c>
      <c r="G65" s="48">
        <f t="shared" si="3"/>
        <v>521450904.52011019</v>
      </c>
      <c r="H65" s="48">
        <f t="shared" si="4"/>
        <v>1.9277157368603814</v>
      </c>
      <c r="I65" s="48">
        <f t="shared" si="5"/>
        <v>12.470063113910062</v>
      </c>
      <c r="J65" s="48">
        <f t="shared" si="6"/>
        <v>0.49030688608993778</v>
      </c>
      <c r="K65" s="49">
        <f t="shared" si="7"/>
        <v>-1.8787289173399397</v>
      </c>
      <c r="T65" s="103"/>
      <c r="U65" s="103"/>
      <c r="V65" s="103"/>
      <c r="W65" s="103"/>
      <c r="X65" s="103"/>
    </row>
    <row r="66" spans="1:25" ht="16.5" thickBot="1" x14ac:dyDescent="0.3">
      <c r="A66" s="27" t="s">
        <v>63</v>
      </c>
      <c r="B66" s="12">
        <f>'Base de Dados P1'!C66</f>
        <v>13.037570000000001</v>
      </c>
      <c r="C66" s="17">
        <f>'Base de Dados P1'!D66</f>
        <v>43961.168507253649</v>
      </c>
      <c r="D66" s="18">
        <f t="shared" si="0"/>
        <v>-1.3112220312500007</v>
      </c>
      <c r="E66" s="19">
        <f t="shared" si="1"/>
        <v>27324.736783532106</v>
      </c>
      <c r="F66" s="48">
        <f t="shared" si="2"/>
        <v>-35828.796868674581</v>
      </c>
      <c r="G66" s="48">
        <f t="shared" si="3"/>
        <v>746641240.28931248</v>
      </c>
      <c r="H66" s="48">
        <f t="shared" si="4"/>
        <v>1.7193032152353778</v>
      </c>
      <c r="I66" s="48">
        <f t="shared" si="5"/>
        <v>12.100703579787581</v>
      </c>
      <c r="J66" s="48">
        <f t="shared" si="6"/>
        <v>0.93686642021241973</v>
      </c>
      <c r="K66" s="49">
        <f t="shared" si="7"/>
        <v>-2.2480884514624204</v>
      </c>
      <c r="T66" s="67"/>
      <c r="U66" s="67"/>
      <c r="V66" s="67"/>
    </row>
    <row r="68" spans="1:25" ht="15.75" x14ac:dyDescent="0.25">
      <c r="T68" s="63" t="s">
        <v>136</v>
      </c>
    </row>
    <row r="69" spans="1:25" ht="15" customHeight="1" x14ac:dyDescent="0.25">
      <c r="T69" s="103" t="s">
        <v>138</v>
      </c>
      <c r="U69" s="103"/>
      <c r="V69" s="103"/>
      <c r="W69" s="103"/>
      <c r="X69" s="103"/>
    </row>
    <row r="70" spans="1:25" x14ac:dyDescent="0.25">
      <c r="T70" s="103"/>
      <c r="U70" s="103"/>
      <c r="V70" s="103"/>
      <c r="W70" s="103"/>
      <c r="X70" s="103"/>
    </row>
    <row r="71" spans="1:25" x14ac:dyDescent="0.25">
      <c r="T71" s="103"/>
      <c r="U71" s="103"/>
      <c r="V71" s="103"/>
      <c r="W71" s="103"/>
      <c r="X71" s="103"/>
    </row>
    <row r="72" spans="1:25" x14ac:dyDescent="0.25">
      <c r="T72" s="103" t="s">
        <v>139</v>
      </c>
      <c r="U72" s="103"/>
      <c r="V72" s="103"/>
    </row>
    <row r="75" spans="1:25" ht="15.75" x14ac:dyDescent="0.25">
      <c r="T75" s="63" t="s">
        <v>157</v>
      </c>
    </row>
    <row r="76" spans="1:25" ht="15" customHeight="1" x14ac:dyDescent="0.25">
      <c r="T76" s="103" t="s">
        <v>158</v>
      </c>
      <c r="U76" s="103"/>
      <c r="V76" s="103"/>
      <c r="W76" s="103"/>
      <c r="X76" s="103"/>
    </row>
    <row r="77" spans="1:25" x14ac:dyDescent="0.25">
      <c r="T77" s="103"/>
      <c r="U77" s="103"/>
      <c r="V77" s="103"/>
      <c r="W77" s="103"/>
      <c r="X77" s="103"/>
    </row>
    <row r="78" spans="1:25" x14ac:dyDescent="0.25">
      <c r="T78" s="103"/>
      <c r="U78" s="103"/>
      <c r="V78" s="103"/>
      <c r="W78" s="103"/>
      <c r="X78" s="103"/>
    </row>
    <row r="80" spans="1:25" ht="15" customHeight="1" x14ac:dyDescent="0.25">
      <c r="Y80" s="67"/>
    </row>
    <row r="81" spans="20:25" ht="15" customHeight="1" x14ac:dyDescent="0.25">
      <c r="T81" s="63" t="s">
        <v>156</v>
      </c>
      <c r="Y81" s="67"/>
    </row>
    <row r="82" spans="20:25" ht="15" customHeight="1" x14ac:dyDescent="0.25">
      <c r="T82" s="104" t="s">
        <v>162</v>
      </c>
      <c r="U82" s="104"/>
      <c r="V82" s="104"/>
      <c r="W82" s="104"/>
      <c r="X82" s="104"/>
      <c r="Y82" s="67"/>
    </row>
    <row r="83" spans="20:25" x14ac:dyDescent="0.25">
      <c r="T83" s="104"/>
      <c r="U83" s="104"/>
      <c r="V83" s="104"/>
      <c r="W83" s="104"/>
      <c r="X83" s="104"/>
    </row>
    <row r="84" spans="20:25" x14ac:dyDescent="0.25">
      <c r="T84" s="104"/>
      <c r="U84" s="104"/>
      <c r="V84" s="104"/>
      <c r="W84" s="104"/>
      <c r="X84" s="104"/>
    </row>
    <row r="85" spans="20:25" x14ac:dyDescent="0.25">
      <c r="T85" s="104"/>
      <c r="U85" s="104"/>
      <c r="V85" s="104"/>
      <c r="W85" s="104"/>
      <c r="X85" s="104"/>
    </row>
  </sheetData>
  <mergeCells count="11">
    <mergeCell ref="A1:A2"/>
    <mergeCell ref="D1:K1"/>
    <mergeCell ref="M18:R18"/>
    <mergeCell ref="T76:X78"/>
    <mergeCell ref="T38:Y41"/>
    <mergeCell ref="T82:X85"/>
    <mergeCell ref="T72:V72"/>
    <mergeCell ref="T44:Y45"/>
    <mergeCell ref="T69:X71"/>
    <mergeCell ref="T61:X62"/>
    <mergeCell ref="T64:X65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B2:C66 D3:D66 E3 E4:E6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Database Geral</vt:lpstr>
      <vt:lpstr>Cruzamento</vt:lpstr>
      <vt:lpstr>Base de Dados P1</vt:lpstr>
      <vt:lpstr>Planilha Suporte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F.</dc:creator>
  <cp:lastModifiedBy>gioam</cp:lastModifiedBy>
  <dcterms:created xsi:type="dcterms:W3CDTF">2015-06-05T18:19:34Z</dcterms:created>
  <dcterms:modified xsi:type="dcterms:W3CDTF">2021-04-10T05:13:09Z</dcterms:modified>
</cp:coreProperties>
</file>